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bdc8c50692ce8b/Desktop/"/>
    </mc:Choice>
  </mc:AlternateContent>
  <xr:revisionPtr revIDLastSave="2" documentId="8_{05BBEB4E-CD8B-4BF0-A26C-7E04E501DA9C}" xr6:coauthVersionLast="47" xr6:coauthVersionMax="47" xr10:uidLastSave="{0F90E18B-1FE1-4176-B738-2C0BA4AF5E46}"/>
  <bookViews>
    <workbookView xWindow="-108" yWindow="-108" windowWidth="23256" windowHeight="13896" xr2:uid="{C926F0E2-5660-43F2-8E76-97AF5C0709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97" i="1" l="1"/>
  <c r="BC97" i="1"/>
  <c r="BB97" i="1"/>
  <c r="BA97" i="1"/>
  <c r="BE97" i="1" s="1"/>
  <c r="AZ97" i="1"/>
  <c r="BE96" i="1"/>
  <c r="BD96" i="1"/>
  <c r="BC96" i="1"/>
  <c r="BB96" i="1"/>
  <c r="BA96" i="1"/>
  <c r="AZ96" i="1"/>
  <c r="BD95" i="1"/>
  <c r="BC95" i="1"/>
  <c r="BB95" i="1"/>
  <c r="BA95" i="1"/>
  <c r="BE95" i="1" s="1"/>
  <c r="AZ95" i="1"/>
  <c r="BE94" i="1"/>
  <c r="BD94" i="1"/>
  <c r="BC94" i="1"/>
  <c r="BB94" i="1"/>
  <c r="BA94" i="1"/>
  <c r="AZ94" i="1"/>
  <c r="BE93" i="1"/>
  <c r="BD93" i="1"/>
  <c r="BC93" i="1"/>
  <c r="BB93" i="1"/>
  <c r="BA93" i="1"/>
  <c r="AZ93" i="1"/>
  <c r="BD92" i="1"/>
  <c r="BC92" i="1"/>
  <c r="BB92" i="1"/>
  <c r="BA92" i="1"/>
  <c r="BE92" i="1" s="1"/>
  <c r="AZ92" i="1"/>
  <c r="BE91" i="1"/>
  <c r="BD91" i="1"/>
  <c r="BC91" i="1"/>
  <c r="BB91" i="1"/>
  <c r="BA91" i="1"/>
  <c r="AZ91" i="1"/>
  <c r="BD90" i="1"/>
  <c r="BC90" i="1"/>
  <c r="BB90" i="1"/>
  <c r="BA90" i="1"/>
  <c r="BE90" i="1" s="1"/>
  <c r="AZ90" i="1"/>
  <c r="BD89" i="1"/>
  <c r="BC89" i="1"/>
  <c r="BB89" i="1"/>
  <c r="BA89" i="1"/>
  <c r="BE89" i="1" s="1"/>
  <c r="AZ89" i="1"/>
  <c r="BE88" i="1"/>
  <c r="BD88" i="1"/>
  <c r="BC88" i="1"/>
  <c r="BB88" i="1"/>
  <c r="BA88" i="1"/>
  <c r="AZ88" i="1"/>
  <c r="BD87" i="1"/>
  <c r="BC87" i="1"/>
  <c r="BB87" i="1"/>
  <c r="BA87" i="1"/>
  <c r="BE87" i="1" s="1"/>
  <c r="AZ87" i="1"/>
  <c r="BE86" i="1"/>
  <c r="BD86" i="1"/>
  <c r="BC86" i="1"/>
  <c r="BB86" i="1"/>
  <c r="BA86" i="1"/>
  <c r="AZ86" i="1"/>
  <c r="BE85" i="1"/>
  <c r="BD85" i="1"/>
  <c r="BC85" i="1"/>
  <c r="BB85" i="1"/>
  <c r="BA85" i="1"/>
  <c r="AZ85" i="1"/>
  <c r="BD84" i="1"/>
  <c r="BC84" i="1"/>
  <c r="BB84" i="1"/>
  <c r="BA84" i="1"/>
  <c r="BE84" i="1" s="1"/>
  <c r="AZ84" i="1"/>
  <c r="BE83" i="1"/>
  <c r="BD83" i="1"/>
  <c r="BC83" i="1"/>
  <c r="BB83" i="1"/>
  <c r="BA83" i="1"/>
  <c r="AZ83" i="1"/>
  <c r="BD82" i="1"/>
  <c r="BC82" i="1"/>
  <c r="BB82" i="1"/>
  <c r="BA82" i="1"/>
  <c r="BE82" i="1" s="1"/>
  <c r="AZ82" i="1"/>
  <c r="BD81" i="1"/>
  <c r="BC81" i="1"/>
  <c r="BB81" i="1"/>
  <c r="BA81" i="1"/>
  <c r="BE81" i="1" s="1"/>
  <c r="AZ81" i="1"/>
  <c r="BE80" i="1"/>
  <c r="BD80" i="1"/>
  <c r="BC80" i="1"/>
  <c r="BB80" i="1"/>
  <c r="BA80" i="1"/>
  <c r="AZ80" i="1"/>
  <c r="BD79" i="1"/>
  <c r="BC79" i="1"/>
  <c r="BB79" i="1"/>
  <c r="BA79" i="1"/>
  <c r="BE79" i="1" s="1"/>
  <c r="AZ79" i="1"/>
  <c r="BE78" i="1"/>
  <c r="BD78" i="1"/>
  <c r="BC78" i="1"/>
  <c r="BB78" i="1"/>
  <c r="BA78" i="1"/>
  <c r="AZ78" i="1"/>
  <c r="BE77" i="1"/>
  <c r="BD77" i="1"/>
  <c r="BC77" i="1"/>
  <c r="BB77" i="1"/>
  <c r="BA77" i="1"/>
  <c r="AZ77" i="1"/>
  <c r="BD76" i="1"/>
  <c r="BC76" i="1"/>
  <c r="BB76" i="1"/>
  <c r="BA76" i="1"/>
  <c r="BE76" i="1" s="1"/>
  <c r="AZ76" i="1"/>
  <c r="BE75" i="1"/>
  <c r="BD75" i="1"/>
  <c r="BC75" i="1"/>
  <c r="BB75" i="1"/>
  <c r="BA75" i="1"/>
  <c r="AZ75" i="1"/>
  <c r="BD74" i="1"/>
  <c r="BC74" i="1"/>
  <c r="BB74" i="1"/>
  <c r="BA74" i="1"/>
  <c r="BE74" i="1" s="1"/>
  <c r="AZ74" i="1"/>
  <c r="BD73" i="1"/>
  <c r="BC73" i="1"/>
  <c r="BB73" i="1"/>
  <c r="BA73" i="1"/>
  <c r="BE73" i="1" s="1"/>
  <c r="AZ73" i="1"/>
  <c r="BE72" i="1"/>
  <c r="BD72" i="1"/>
  <c r="BC72" i="1"/>
  <c r="BB72" i="1"/>
  <c r="BA72" i="1"/>
  <c r="AZ72" i="1"/>
  <c r="BD71" i="1"/>
  <c r="BC71" i="1"/>
  <c r="BB71" i="1"/>
  <c r="BA71" i="1"/>
  <c r="BE71" i="1" s="1"/>
  <c r="AZ71" i="1"/>
  <c r="BE70" i="1"/>
  <c r="BD70" i="1"/>
  <c r="BC70" i="1"/>
  <c r="BB70" i="1"/>
  <c r="BA70" i="1"/>
  <c r="AZ70" i="1"/>
  <c r="BE69" i="1"/>
  <c r="BD69" i="1"/>
  <c r="BC69" i="1"/>
  <c r="BB69" i="1"/>
  <c r="BA69" i="1"/>
  <c r="AZ69" i="1"/>
  <c r="BD68" i="1"/>
  <c r="BC68" i="1"/>
  <c r="BB68" i="1"/>
  <c r="BA68" i="1"/>
  <c r="BE68" i="1" s="1"/>
  <c r="AZ68" i="1"/>
  <c r="BE67" i="1"/>
  <c r="BD67" i="1"/>
  <c r="BC67" i="1"/>
  <c r="BB67" i="1"/>
  <c r="BA67" i="1"/>
  <c r="AZ67" i="1"/>
  <c r="BD66" i="1"/>
  <c r="BC66" i="1"/>
  <c r="BB66" i="1"/>
  <c r="BA66" i="1"/>
  <c r="BE66" i="1" s="1"/>
  <c r="AZ66" i="1"/>
  <c r="BD65" i="1"/>
  <c r="BC65" i="1"/>
  <c r="BB65" i="1"/>
  <c r="BA65" i="1"/>
  <c r="BE65" i="1" s="1"/>
  <c r="AZ65" i="1"/>
  <c r="BE64" i="1"/>
  <c r="BD64" i="1"/>
  <c r="BC64" i="1"/>
  <c r="BB64" i="1"/>
  <c r="BA64" i="1"/>
  <c r="AZ64" i="1"/>
  <c r="BD63" i="1"/>
  <c r="BC63" i="1"/>
  <c r="BB63" i="1"/>
  <c r="BA63" i="1"/>
  <c r="BE63" i="1" s="1"/>
  <c r="AZ63" i="1"/>
  <c r="BE62" i="1"/>
  <c r="BD62" i="1"/>
  <c r="BC62" i="1"/>
  <c r="BB62" i="1"/>
  <c r="BA62" i="1"/>
  <c r="AZ62" i="1"/>
  <c r="BE61" i="1"/>
  <c r="BD61" i="1"/>
  <c r="BC61" i="1"/>
  <c r="BB61" i="1"/>
  <c r="BA61" i="1"/>
  <c r="AZ61" i="1"/>
  <c r="BD60" i="1"/>
  <c r="BC60" i="1"/>
  <c r="BB60" i="1"/>
  <c r="BA60" i="1"/>
  <c r="BE60" i="1" s="1"/>
  <c r="AZ60" i="1"/>
  <c r="BE59" i="1"/>
  <c r="BD59" i="1"/>
  <c r="BC59" i="1"/>
  <c r="BB59" i="1"/>
  <c r="BA59" i="1"/>
  <c r="AZ59" i="1"/>
  <c r="BD58" i="1"/>
  <c r="BC58" i="1"/>
  <c r="BB58" i="1"/>
  <c r="BA58" i="1"/>
  <c r="BE58" i="1" s="1"/>
  <c r="AZ58" i="1"/>
  <c r="BD57" i="1"/>
  <c r="BC57" i="1"/>
  <c r="BB57" i="1"/>
  <c r="BA57" i="1"/>
  <c r="BE57" i="1" s="1"/>
  <c r="AZ57" i="1"/>
  <c r="BE56" i="1"/>
  <c r="BD56" i="1"/>
  <c r="BC56" i="1"/>
  <c r="BB56" i="1"/>
  <c r="BA56" i="1"/>
  <c r="AZ56" i="1"/>
  <c r="BD55" i="1"/>
  <c r="BC55" i="1"/>
  <c r="BB55" i="1"/>
  <c r="BA55" i="1"/>
  <c r="BE55" i="1" s="1"/>
  <c r="AZ55" i="1"/>
  <c r="BE54" i="1"/>
  <c r="BD54" i="1"/>
  <c r="BC54" i="1"/>
  <c r="BB54" i="1"/>
  <c r="BA54" i="1"/>
  <c r="AZ54" i="1"/>
  <c r="BE53" i="1"/>
  <c r="BD53" i="1"/>
  <c r="BC53" i="1"/>
  <c r="BB53" i="1"/>
  <c r="BA53" i="1"/>
  <c r="AZ53" i="1"/>
  <c r="BD52" i="1"/>
  <c r="BC52" i="1"/>
  <c r="BB52" i="1"/>
  <c r="BA52" i="1"/>
  <c r="BE52" i="1" s="1"/>
  <c r="AZ52" i="1"/>
  <c r="BE51" i="1"/>
  <c r="BD51" i="1"/>
  <c r="BC51" i="1"/>
  <c r="BB51" i="1"/>
  <c r="BA51" i="1"/>
  <c r="AZ51" i="1"/>
  <c r="BD50" i="1"/>
  <c r="BC50" i="1"/>
  <c r="BB50" i="1"/>
  <c r="BA50" i="1"/>
  <c r="BE50" i="1" s="1"/>
  <c r="AZ50" i="1"/>
  <c r="BD49" i="1"/>
  <c r="BC49" i="1"/>
  <c r="BB49" i="1"/>
  <c r="BA49" i="1"/>
  <c r="BE49" i="1" s="1"/>
  <c r="AZ49" i="1"/>
  <c r="BE48" i="1"/>
  <c r="BD48" i="1"/>
  <c r="BC48" i="1"/>
  <c r="BB48" i="1"/>
  <c r="BA48" i="1"/>
  <c r="AZ48" i="1"/>
  <c r="BD47" i="1"/>
  <c r="BC47" i="1"/>
  <c r="BB47" i="1"/>
  <c r="BA47" i="1"/>
  <c r="BE47" i="1" s="1"/>
  <c r="AZ47" i="1"/>
  <c r="BE46" i="1"/>
  <c r="BD46" i="1"/>
  <c r="BC46" i="1"/>
  <c r="BB46" i="1"/>
  <c r="BA46" i="1"/>
  <c r="AZ46" i="1"/>
  <c r="BE45" i="1"/>
  <c r="BD45" i="1"/>
  <c r="BC45" i="1"/>
  <c r="BB45" i="1"/>
  <c r="BA45" i="1"/>
  <c r="AZ45" i="1"/>
  <c r="BD44" i="1"/>
  <c r="BC44" i="1"/>
  <c r="BB44" i="1"/>
  <c r="BA44" i="1"/>
  <c r="BE44" i="1" s="1"/>
  <c r="AZ44" i="1"/>
  <c r="BE43" i="1"/>
  <c r="BD43" i="1"/>
  <c r="BC43" i="1"/>
  <c r="BB43" i="1"/>
  <c r="BA43" i="1"/>
  <c r="AZ43" i="1"/>
  <c r="BD42" i="1"/>
  <c r="BC42" i="1"/>
  <c r="BB42" i="1"/>
  <c r="BA42" i="1"/>
  <c r="BE42" i="1" s="1"/>
  <c r="AZ42" i="1"/>
  <c r="BD41" i="1"/>
  <c r="BC41" i="1"/>
  <c r="BB41" i="1"/>
  <c r="BA41" i="1"/>
  <c r="BE41" i="1" s="1"/>
  <c r="AZ41" i="1"/>
  <c r="BE40" i="1"/>
  <c r="BD40" i="1"/>
  <c r="BC40" i="1"/>
  <c r="BB40" i="1"/>
  <c r="BA40" i="1"/>
  <c r="AZ40" i="1"/>
  <c r="BD39" i="1"/>
  <c r="BC39" i="1"/>
  <c r="BB39" i="1"/>
  <c r="BA39" i="1"/>
  <c r="BE39" i="1" s="1"/>
  <c r="AZ39" i="1"/>
  <c r="BE38" i="1"/>
  <c r="BD38" i="1"/>
  <c r="BC38" i="1"/>
  <c r="BB38" i="1"/>
  <c r="BA38" i="1"/>
  <c r="AZ38" i="1"/>
  <c r="BE37" i="1"/>
  <c r="BD37" i="1"/>
  <c r="BC37" i="1"/>
  <c r="BB37" i="1"/>
  <c r="BA37" i="1"/>
  <c r="AZ37" i="1"/>
  <c r="BD36" i="1"/>
  <c r="BC36" i="1"/>
  <c r="BB36" i="1"/>
  <c r="BA36" i="1"/>
  <c r="BE36" i="1" s="1"/>
  <c r="AZ36" i="1"/>
  <c r="BE35" i="1"/>
  <c r="BD35" i="1"/>
  <c r="BC35" i="1"/>
  <c r="BB35" i="1"/>
  <c r="BA35" i="1"/>
  <c r="AZ35" i="1"/>
  <c r="BD34" i="1"/>
  <c r="BC34" i="1"/>
  <c r="BB34" i="1"/>
  <c r="BA34" i="1"/>
  <c r="BE34" i="1" s="1"/>
  <c r="AZ34" i="1"/>
  <c r="BD33" i="1"/>
  <c r="BC33" i="1"/>
  <c r="BB33" i="1"/>
  <c r="BA33" i="1"/>
  <c r="BE33" i="1" s="1"/>
  <c r="AZ33" i="1"/>
  <c r="BE32" i="1"/>
  <c r="BD32" i="1"/>
  <c r="BC32" i="1"/>
  <c r="BB32" i="1"/>
  <c r="BA32" i="1"/>
  <c r="AZ32" i="1"/>
  <c r="BD31" i="1"/>
  <c r="BC31" i="1"/>
  <c r="BB31" i="1"/>
  <c r="BA31" i="1"/>
  <c r="BE31" i="1" s="1"/>
  <c r="AZ31" i="1"/>
  <c r="BE30" i="1"/>
  <c r="BD30" i="1"/>
  <c r="BC30" i="1"/>
  <c r="BB30" i="1"/>
  <c r="BA30" i="1"/>
  <c r="AZ30" i="1"/>
  <c r="BE29" i="1"/>
  <c r="BD29" i="1"/>
  <c r="BC29" i="1"/>
  <c r="BB29" i="1"/>
  <c r="BA29" i="1"/>
  <c r="AZ29" i="1"/>
  <c r="BD28" i="1"/>
  <c r="BC28" i="1"/>
  <c r="BB28" i="1"/>
  <c r="BA28" i="1"/>
  <c r="BE28" i="1" s="1"/>
  <c r="AZ28" i="1"/>
  <c r="BE27" i="1"/>
  <c r="BD27" i="1"/>
  <c r="BC27" i="1"/>
  <c r="BB27" i="1"/>
  <c r="BA27" i="1"/>
  <c r="AZ27" i="1"/>
  <c r="BD26" i="1"/>
  <c r="BC26" i="1"/>
  <c r="BB26" i="1"/>
  <c r="BA26" i="1"/>
  <c r="BE26" i="1" s="1"/>
  <c r="AZ26" i="1"/>
  <c r="BD25" i="1"/>
  <c r="BC25" i="1"/>
  <c r="BB25" i="1"/>
  <c r="BA25" i="1"/>
  <c r="BE25" i="1" s="1"/>
  <c r="AZ25" i="1"/>
  <c r="BE24" i="1"/>
  <c r="BD24" i="1"/>
  <c r="BC24" i="1"/>
  <c r="BB24" i="1"/>
  <c r="BA24" i="1"/>
  <c r="AZ24" i="1"/>
  <c r="BD23" i="1"/>
  <c r="BC23" i="1"/>
  <c r="BB23" i="1"/>
  <c r="BA23" i="1"/>
  <c r="BE23" i="1" s="1"/>
  <c r="AZ23" i="1"/>
  <c r="BE22" i="1"/>
  <c r="BD22" i="1"/>
  <c r="BC22" i="1"/>
  <c r="BB22" i="1"/>
  <c r="BA22" i="1"/>
  <c r="AZ22" i="1"/>
  <c r="BE21" i="1"/>
  <c r="BD21" i="1"/>
  <c r="BC21" i="1"/>
  <c r="BB21" i="1"/>
  <c r="BA21" i="1"/>
  <c r="AZ21" i="1"/>
  <c r="BD20" i="1"/>
  <c r="BC20" i="1"/>
  <c r="BB20" i="1"/>
  <c r="BA20" i="1"/>
  <c r="BE20" i="1" s="1"/>
  <c r="AZ20" i="1"/>
  <c r="BE19" i="1"/>
  <c r="BD19" i="1"/>
  <c r="BC19" i="1"/>
  <c r="BB19" i="1"/>
  <c r="BA19" i="1"/>
  <c r="AZ19" i="1"/>
  <c r="BD18" i="1"/>
  <c r="BC18" i="1"/>
  <c r="BB18" i="1"/>
  <c r="BA18" i="1"/>
  <c r="BE18" i="1" s="1"/>
  <c r="AZ18" i="1"/>
  <c r="BD17" i="1"/>
  <c r="BC17" i="1"/>
  <c r="BB17" i="1"/>
  <c r="BA17" i="1"/>
  <c r="BE17" i="1" s="1"/>
  <c r="AZ17" i="1"/>
  <c r="BE16" i="1"/>
  <c r="BD16" i="1"/>
  <c r="BC16" i="1"/>
  <c r="BB16" i="1"/>
  <c r="BA16" i="1"/>
  <c r="AZ16" i="1"/>
  <c r="BD15" i="1"/>
  <c r="BC15" i="1"/>
  <c r="BB15" i="1"/>
  <c r="BA15" i="1"/>
  <c r="BE15" i="1" s="1"/>
  <c r="AZ15" i="1"/>
  <c r="BE14" i="1"/>
  <c r="BD14" i="1"/>
  <c r="BC14" i="1"/>
  <c r="BB14" i="1"/>
  <c r="BA14" i="1"/>
  <c r="AZ14" i="1"/>
  <c r="BE13" i="1"/>
  <c r="BD13" i="1"/>
  <c r="BC13" i="1"/>
  <c r="BB13" i="1"/>
  <c r="BA13" i="1"/>
  <c r="AZ13" i="1"/>
  <c r="BD12" i="1"/>
  <c r="BC12" i="1"/>
  <c r="BB12" i="1"/>
  <c r="BA12" i="1"/>
  <c r="BE12" i="1" s="1"/>
  <c r="AZ12" i="1"/>
  <c r="BE11" i="1"/>
  <c r="BD11" i="1"/>
  <c r="BC11" i="1"/>
  <c r="BB11" i="1"/>
  <c r="BA11" i="1"/>
  <c r="AZ11" i="1"/>
  <c r="BD10" i="1"/>
  <c r="BC10" i="1"/>
  <c r="BB10" i="1"/>
  <c r="BA10" i="1"/>
  <c r="BE10" i="1" s="1"/>
  <c r="AZ10" i="1"/>
  <c r="BD9" i="1"/>
  <c r="BC9" i="1"/>
  <c r="BB9" i="1"/>
  <c r="BA9" i="1"/>
  <c r="BE9" i="1" s="1"/>
  <c r="AZ9" i="1"/>
  <c r="BE8" i="1"/>
  <c r="BD8" i="1"/>
  <c r="BC8" i="1"/>
  <c r="BB8" i="1"/>
  <c r="BA8" i="1"/>
  <c r="AZ8" i="1"/>
  <c r="BD7" i="1"/>
  <c r="BC7" i="1"/>
  <c r="BB7" i="1"/>
  <c r="BA7" i="1"/>
  <c r="BE7" i="1" s="1"/>
  <c r="AZ7" i="1"/>
  <c r="BE6" i="1"/>
  <c r="BD6" i="1"/>
  <c r="BC6" i="1"/>
  <c r="BB6" i="1"/>
  <c r="BA6" i="1"/>
  <c r="AZ6" i="1"/>
  <c r="BE5" i="1"/>
  <c r="BD5" i="1"/>
  <c r="BC5" i="1"/>
  <c r="BB5" i="1"/>
  <c r="BA5" i="1"/>
  <c r="AZ5" i="1"/>
  <c r="BD4" i="1"/>
  <c r="BC4" i="1"/>
  <c r="BB4" i="1"/>
  <c r="BA4" i="1"/>
  <c r="BE4" i="1" s="1"/>
  <c r="AZ4" i="1"/>
  <c r="BE3" i="1"/>
  <c r="BD3" i="1"/>
  <c r="BC3" i="1"/>
  <c r="BB3" i="1"/>
  <c r="BA3" i="1"/>
  <c r="AZ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AA3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O84" i="1"/>
  <c r="AN84" i="1"/>
  <c r="AM84" i="1"/>
  <c r="AL84" i="1"/>
  <c r="AK84" i="1"/>
  <c r="AO83" i="1"/>
  <c r="AN83" i="1"/>
  <c r="AM83" i="1"/>
  <c r="AL83" i="1"/>
  <c r="AK83" i="1"/>
  <c r="AO82" i="1"/>
  <c r="AN82" i="1"/>
  <c r="AM82" i="1"/>
  <c r="AL82" i="1"/>
  <c r="AK82" i="1"/>
  <c r="AO81" i="1"/>
  <c r="AN81" i="1"/>
  <c r="AM81" i="1"/>
  <c r="AL81" i="1"/>
  <c r="AK81" i="1"/>
  <c r="AO80" i="1"/>
  <c r="AN80" i="1"/>
  <c r="AM80" i="1"/>
  <c r="AL80" i="1"/>
  <c r="AK80" i="1"/>
  <c r="AO79" i="1"/>
  <c r="AN79" i="1"/>
  <c r="AM79" i="1"/>
  <c r="AL79" i="1"/>
  <c r="AK79" i="1"/>
  <c r="AO78" i="1"/>
  <c r="AN78" i="1"/>
  <c r="AM78" i="1"/>
  <c r="AL78" i="1"/>
  <c r="AK78" i="1"/>
  <c r="AO77" i="1"/>
  <c r="AN77" i="1"/>
  <c r="AM77" i="1"/>
  <c r="AL77" i="1"/>
  <c r="AK77" i="1"/>
  <c r="AO76" i="1"/>
  <c r="AN76" i="1"/>
  <c r="AM76" i="1"/>
  <c r="AL76" i="1"/>
  <c r="AK76" i="1"/>
  <c r="AO75" i="1"/>
  <c r="AN75" i="1"/>
  <c r="AM75" i="1"/>
  <c r="AL75" i="1"/>
  <c r="AK75" i="1"/>
  <c r="AO74" i="1"/>
  <c r="AN74" i="1"/>
  <c r="AM74" i="1"/>
  <c r="AL74" i="1"/>
  <c r="AK74" i="1"/>
  <c r="AO73" i="1"/>
  <c r="AN73" i="1"/>
  <c r="AM73" i="1"/>
  <c r="AL73" i="1"/>
  <c r="AK73" i="1"/>
  <c r="AO72" i="1"/>
  <c r="AN72" i="1"/>
  <c r="AM72" i="1"/>
  <c r="AL72" i="1"/>
  <c r="AK72" i="1"/>
  <c r="AO71" i="1"/>
  <c r="AN71" i="1"/>
  <c r="AM71" i="1"/>
  <c r="AL71" i="1"/>
  <c r="AK71" i="1"/>
  <c r="AO70" i="1"/>
  <c r="AN70" i="1"/>
  <c r="AM70" i="1"/>
  <c r="AL70" i="1"/>
  <c r="AK70" i="1"/>
  <c r="AO69" i="1"/>
  <c r="AN69" i="1"/>
  <c r="AM69" i="1"/>
  <c r="AL69" i="1"/>
  <c r="AK69" i="1"/>
  <c r="AO68" i="1"/>
  <c r="AN68" i="1"/>
  <c r="AM68" i="1"/>
  <c r="AL68" i="1"/>
  <c r="AK68" i="1"/>
  <c r="AO67" i="1"/>
  <c r="AN67" i="1"/>
  <c r="AM67" i="1"/>
  <c r="AL67" i="1"/>
  <c r="AK67" i="1"/>
  <c r="AO66" i="1"/>
  <c r="AN66" i="1"/>
  <c r="AM66" i="1"/>
  <c r="AL66" i="1"/>
  <c r="AK66" i="1"/>
  <c r="AO65" i="1"/>
  <c r="AN65" i="1"/>
  <c r="AM65" i="1"/>
  <c r="AL65" i="1"/>
  <c r="AK65" i="1"/>
  <c r="AO64" i="1"/>
  <c r="AN64" i="1"/>
  <c r="AM64" i="1"/>
  <c r="AL64" i="1"/>
  <c r="AK64" i="1"/>
  <c r="AO63" i="1"/>
  <c r="AN63" i="1"/>
  <c r="AM63" i="1"/>
  <c r="AL63" i="1"/>
  <c r="AK63" i="1"/>
  <c r="AO62" i="1"/>
  <c r="AN62" i="1"/>
  <c r="AM62" i="1"/>
  <c r="AL62" i="1"/>
  <c r="AK62" i="1"/>
  <c r="AO61" i="1"/>
  <c r="AN61" i="1"/>
  <c r="AM61" i="1"/>
  <c r="AL61" i="1"/>
  <c r="AK61" i="1"/>
  <c r="AO60" i="1"/>
  <c r="AN60" i="1"/>
  <c r="AM60" i="1"/>
  <c r="AL60" i="1"/>
  <c r="AK60" i="1"/>
  <c r="AO59" i="1"/>
  <c r="AN59" i="1"/>
  <c r="AM59" i="1"/>
  <c r="AL59" i="1"/>
  <c r="AK59" i="1"/>
  <c r="AO58" i="1"/>
  <c r="AN58" i="1"/>
  <c r="AM58" i="1"/>
  <c r="AL58" i="1"/>
  <c r="AK58" i="1"/>
  <c r="AO57" i="1"/>
  <c r="AN57" i="1"/>
  <c r="AM57" i="1"/>
  <c r="AL57" i="1"/>
  <c r="AK57" i="1"/>
  <c r="AO56" i="1"/>
  <c r="AN56" i="1"/>
  <c r="AM56" i="1"/>
  <c r="AL56" i="1"/>
  <c r="AK56" i="1"/>
  <c r="AO55" i="1"/>
  <c r="AN55" i="1"/>
  <c r="AM55" i="1"/>
  <c r="AL55" i="1"/>
  <c r="AK55" i="1"/>
  <c r="AO54" i="1"/>
  <c r="AN54" i="1"/>
  <c r="AM54" i="1"/>
  <c r="AL54" i="1"/>
  <c r="AK54" i="1"/>
  <c r="AO53" i="1"/>
  <c r="AN53" i="1"/>
  <c r="AM53" i="1"/>
  <c r="AL53" i="1"/>
  <c r="AK53" i="1"/>
  <c r="AO52" i="1"/>
  <c r="AN52" i="1"/>
  <c r="AM52" i="1"/>
  <c r="AL52" i="1"/>
  <c r="AK52" i="1"/>
  <c r="AO51" i="1"/>
  <c r="AN51" i="1"/>
  <c r="AM51" i="1"/>
  <c r="AL51" i="1"/>
  <c r="AK51" i="1"/>
  <c r="AO50" i="1"/>
  <c r="AN50" i="1"/>
  <c r="AM50" i="1"/>
  <c r="AL50" i="1"/>
  <c r="AK50" i="1"/>
  <c r="AO49" i="1"/>
  <c r="AN49" i="1"/>
  <c r="AM49" i="1"/>
  <c r="AL49" i="1"/>
  <c r="AK49" i="1"/>
  <c r="AO48" i="1"/>
  <c r="AN48" i="1"/>
  <c r="AM48" i="1"/>
  <c r="AL48" i="1"/>
  <c r="AK48" i="1"/>
  <c r="AO47" i="1"/>
  <c r="AN47" i="1"/>
  <c r="AM47" i="1"/>
  <c r="AL47" i="1"/>
  <c r="AK47" i="1"/>
  <c r="AO46" i="1"/>
  <c r="AN46" i="1"/>
  <c r="AM46" i="1"/>
  <c r="AL46" i="1"/>
  <c r="AK46" i="1"/>
  <c r="AO45" i="1"/>
  <c r="AN45" i="1"/>
  <c r="AM45" i="1"/>
  <c r="AL45" i="1"/>
  <c r="AK45" i="1"/>
  <c r="AO44" i="1"/>
  <c r="AN44" i="1"/>
  <c r="AM44" i="1"/>
  <c r="AL44" i="1"/>
  <c r="AK44" i="1"/>
  <c r="AO43" i="1"/>
  <c r="AN43" i="1"/>
  <c r="AM43" i="1"/>
  <c r="AL43" i="1"/>
  <c r="AK43" i="1"/>
  <c r="AO42" i="1"/>
  <c r="AN42" i="1"/>
  <c r="AM42" i="1"/>
  <c r="AL42" i="1"/>
  <c r="AK42" i="1"/>
  <c r="AO41" i="1"/>
  <c r="AN41" i="1"/>
  <c r="AM41" i="1"/>
  <c r="AL41" i="1"/>
  <c r="AK41" i="1"/>
  <c r="AO40" i="1"/>
  <c r="AN40" i="1"/>
  <c r="AM40" i="1"/>
  <c r="AL40" i="1"/>
  <c r="AK40" i="1"/>
  <c r="AO39" i="1"/>
  <c r="AN39" i="1"/>
  <c r="AM39" i="1"/>
  <c r="AL39" i="1"/>
  <c r="AK39" i="1"/>
  <c r="AO38" i="1"/>
  <c r="AN38" i="1"/>
  <c r="AM38" i="1"/>
  <c r="AL38" i="1"/>
  <c r="AK38" i="1"/>
  <c r="AO37" i="1"/>
  <c r="AN37" i="1"/>
  <c r="AM37" i="1"/>
  <c r="AL37" i="1"/>
  <c r="AK37" i="1"/>
  <c r="AO36" i="1"/>
  <c r="AN36" i="1"/>
  <c r="AM36" i="1"/>
  <c r="AL36" i="1"/>
  <c r="AK36" i="1"/>
  <c r="AO35" i="1"/>
  <c r="AN35" i="1"/>
  <c r="AM35" i="1"/>
  <c r="AL35" i="1"/>
  <c r="AK35" i="1"/>
  <c r="AO34" i="1"/>
  <c r="AN34" i="1"/>
  <c r="AM34" i="1"/>
  <c r="AL34" i="1"/>
  <c r="AK34" i="1"/>
  <c r="AO33" i="1"/>
  <c r="AN33" i="1"/>
  <c r="AM33" i="1"/>
  <c r="AL33" i="1"/>
  <c r="AK33" i="1"/>
  <c r="AO32" i="1"/>
  <c r="AN32" i="1"/>
  <c r="AM32" i="1"/>
  <c r="AL32" i="1"/>
  <c r="AK32" i="1"/>
  <c r="AO31" i="1"/>
  <c r="AN31" i="1"/>
  <c r="AM31" i="1"/>
  <c r="AL31" i="1"/>
  <c r="AK31" i="1"/>
  <c r="AO30" i="1"/>
  <c r="AN30" i="1"/>
  <c r="AM30" i="1"/>
  <c r="AL30" i="1"/>
  <c r="AK30" i="1"/>
  <c r="AO29" i="1"/>
  <c r="AN29" i="1"/>
  <c r="AM29" i="1"/>
  <c r="AL29" i="1"/>
  <c r="AK29" i="1"/>
  <c r="AO28" i="1"/>
  <c r="AN28" i="1"/>
  <c r="AM28" i="1"/>
  <c r="AL28" i="1"/>
  <c r="AK28" i="1"/>
  <c r="AO27" i="1"/>
  <c r="AN27" i="1"/>
  <c r="AM27" i="1"/>
  <c r="AL27" i="1"/>
  <c r="AK27" i="1"/>
  <c r="AO26" i="1"/>
  <c r="AN26" i="1"/>
  <c r="AM26" i="1"/>
  <c r="AL26" i="1"/>
  <c r="AK26" i="1"/>
  <c r="AO25" i="1"/>
  <c r="AN25" i="1"/>
  <c r="AM25" i="1"/>
  <c r="AL25" i="1"/>
  <c r="AK25" i="1"/>
  <c r="AO24" i="1"/>
  <c r="AN24" i="1"/>
  <c r="AM24" i="1"/>
  <c r="AL24" i="1"/>
  <c r="AK24" i="1"/>
  <c r="AO23" i="1"/>
  <c r="AN23" i="1"/>
  <c r="AM23" i="1"/>
  <c r="AL23" i="1"/>
  <c r="AK23" i="1"/>
  <c r="AO22" i="1"/>
  <c r="AN22" i="1"/>
  <c r="AM22" i="1"/>
  <c r="AL22" i="1"/>
  <c r="AK22" i="1"/>
  <c r="AO21" i="1"/>
  <c r="AN21" i="1"/>
  <c r="AM21" i="1"/>
  <c r="AL21" i="1"/>
  <c r="AK21" i="1"/>
  <c r="AO20" i="1"/>
  <c r="AN20" i="1"/>
  <c r="AM20" i="1"/>
  <c r="AL20" i="1"/>
  <c r="AK20" i="1"/>
  <c r="AO19" i="1"/>
  <c r="AN19" i="1"/>
  <c r="AM19" i="1"/>
  <c r="AL19" i="1"/>
  <c r="AK19" i="1"/>
  <c r="AO18" i="1"/>
  <c r="AN18" i="1"/>
  <c r="AM18" i="1"/>
  <c r="AL18" i="1"/>
  <c r="AK18" i="1"/>
  <c r="AO17" i="1"/>
  <c r="AN17" i="1"/>
  <c r="AM17" i="1"/>
  <c r="AL17" i="1"/>
  <c r="AK17" i="1"/>
  <c r="AO16" i="1"/>
  <c r="AN16" i="1"/>
  <c r="AM16" i="1"/>
  <c r="AL16" i="1"/>
  <c r="AK16" i="1"/>
  <c r="AO15" i="1"/>
  <c r="AN15" i="1"/>
  <c r="AM15" i="1"/>
  <c r="AL15" i="1"/>
  <c r="AK15" i="1"/>
  <c r="AO14" i="1"/>
  <c r="AN14" i="1"/>
  <c r="AM14" i="1"/>
  <c r="AL14" i="1"/>
  <c r="AK14" i="1"/>
  <c r="AO13" i="1"/>
  <c r="AN13" i="1"/>
  <c r="AM13" i="1"/>
  <c r="AL13" i="1"/>
  <c r="AK13" i="1"/>
  <c r="AO12" i="1"/>
  <c r="AN12" i="1"/>
  <c r="AM12" i="1"/>
  <c r="AL12" i="1"/>
  <c r="AK12" i="1"/>
  <c r="AO11" i="1"/>
  <c r="AN11" i="1"/>
  <c r="AM11" i="1"/>
  <c r="AL11" i="1"/>
  <c r="AK11" i="1"/>
  <c r="AO10" i="1"/>
  <c r="AN10" i="1"/>
  <c r="AM10" i="1"/>
  <c r="AL10" i="1"/>
  <c r="AK10" i="1"/>
  <c r="AO9" i="1"/>
  <c r="AN9" i="1"/>
  <c r="AM9" i="1"/>
  <c r="AL9" i="1"/>
  <c r="AK9" i="1"/>
  <c r="AO8" i="1"/>
  <c r="AN8" i="1"/>
  <c r="AM8" i="1"/>
  <c r="AL8" i="1"/>
  <c r="AK8" i="1"/>
  <c r="AO7" i="1"/>
  <c r="AN7" i="1"/>
  <c r="AM7" i="1"/>
  <c r="AL7" i="1"/>
  <c r="AK7" i="1"/>
  <c r="AO6" i="1"/>
  <c r="AN6" i="1"/>
  <c r="AM6" i="1"/>
  <c r="AL6" i="1"/>
  <c r="AK6" i="1"/>
  <c r="AO5" i="1"/>
  <c r="AN5" i="1"/>
  <c r="AM5" i="1"/>
  <c r="AL5" i="1"/>
  <c r="AK5" i="1"/>
  <c r="AO4" i="1"/>
  <c r="AN4" i="1"/>
  <c r="AM4" i="1"/>
  <c r="AL4" i="1"/>
  <c r="AK4" i="1"/>
  <c r="AO3" i="1"/>
  <c r="AN3" i="1"/>
  <c r="AM3" i="1"/>
  <c r="AL3" i="1"/>
  <c r="AK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3" i="1"/>
  <c r="K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3" i="1"/>
  <c r="H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3" i="1"/>
  <c r="G3" i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" i="1"/>
  <c r="H4" i="1"/>
  <c r="H5" i="1"/>
  <c r="H6" i="1"/>
  <c r="H7" i="1"/>
  <c r="H8" i="1"/>
  <c r="H9" i="1"/>
  <c r="H10" i="1"/>
  <c r="H11" i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H21" i="1"/>
  <c r="H22" i="1"/>
  <c r="H23" i="1"/>
  <c r="H24" i="1"/>
  <c r="H25" i="1"/>
  <c r="H26" i="1"/>
  <c r="H27" i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H37" i="1"/>
  <c r="H38" i="1"/>
  <c r="H39" i="1"/>
  <c r="H40" i="1"/>
  <c r="H41" i="1"/>
  <c r="H42" i="1"/>
  <c r="H43" i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H53" i="1"/>
  <c r="H54" i="1"/>
  <c r="H55" i="1"/>
  <c r="H56" i="1"/>
  <c r="H57" i="1"/>
  <c r="H58" i="1"/>
  <c r="H59" i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H69" i="1"/>
  <c r="H70" i="1"/>
  <c r="H71" i="1"/>
  <c r="H72" i="1"/>
  <c r="H73" i="1"/>
  <c r="H74" i="1"/>
  <c r="H75" i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H85" i="1"/>
  <c r="H86" i="1"/>
  <c r="H87" i="1"/>
  <c r="H88" i="1"/>
  <c r="H89" i="1"/>
  <c r="H90" i="1"/>
  <c r="H91" i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H101" i="1"/>
  <c r="H102" i="1"/>
  <c r="H103" i="1"/>
  <c r="H104" i="1"/>
  <c r="H105" i="1"/>
  <c r="H106" i="1"/>
  <c r="H107" i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H117" i="1"/>
  <c r="H118" i="1"/>
  <c r="H119" i="1"/>
  <c r="H120" i="1"/>
  <c r="H121" i="1"/>
  <c r="H122" i="1"/>
  <c r="H123" i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H133" i="1"/>
  <c r="H134" i="1"/>
  <c r="H135" i="1"/>
  <c r="H136" i="1"/>
  <c r="H137" i="1"/>
  <c r="H138" i="1"/>
  <c r="H139" i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H149" i="1"/>
  <c r="H150" i="1"/>
  <c r="H151" i="1"/>
  <c r="H152" i="1"/>
  <c r="H153" i="1"/>
  <c r="H154" i="1"/>
  <c r="H155" i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H165" i="1"/>
  <c r="H166" i="1"/>
  <c r="H167" i="1"/>
  <c r="H168" i="1"/>
  <c r="H169" i="1"/>
  <c r="H170" i="1"/>
  <c r="H171" i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H181" i="1"/>
  <c r="H182" i="1"/>
  <c r="H183" i="1"/>
  <c r="H184" i="1"/>
  <c r="H185" i="1"/>
  <c r="H186" i="1"/>
  <c r="H187" i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H197" i="1"/>
  <c r="H198" i="1"/>
  <c r="H199" i="1"/>
  <c r="H200" i="1"/>
  <c r="H201" i="1"/>
  <c r="H202" i="1"/>
  <c r="H203" i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H213" i="1"/>
  <c r="H214" i="1"/>
  <c r="H215" i="1"/>
  <c r="H216" i="1"/>
  <c r="H217" i="1"/>
  <c r="H218" i="1"/>
  <c r="H219" i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H229" i="1"/>
  <c r="H230" i="1"/>
  <c r="H231" i="1"/>
  <c r="H232" i="1"/>
  <c r="H233" i="1"/>
  <c r="H234" i="1"/>
  <c r="H235" i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H245" i="1"/>
  <c r="H246" i="1"/>
  <c r="H247" i="1"/>
  <c r="H248" i="1"/>
  <c r="H249" i="1"/>
  <c r="H250" i="1"/>
  <c r="H251" i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H261" i="1"/>
  <c r="H262" i="1"/>
  <c r="H263" i="1"/>
  <c r="H264" i="1"/>
  <c r="H265" i="1"/>
  <c r="H266" i="1"/>
  <c r="H267" i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H277" i="1"/>
  <c r="H278" i="1"/>
  <c r="H279" i="1"/>
  <c r="H280" i="1"/>
  <c r="H281" i="1"/>
  <c r="H282" i="1"/>
  <c r="H283" i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H293" i="1"/>
  <c r="H294" i="1"/>
  <c r="H295" i="1"/>
  <c r="H296" i="1"/>
  <c r="H297" i="1"/>
  <c r="H298" i="1"/>
  <c r="H299" i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H309" i="1"/>
  <c r="H310" i="1"/>
  <c r="H311" i="1"/>
  <c r="H312" i="1"/>
  <c r="H313" i="1"/>
  <c r="H314" i="1"/>
  <c r="H315" i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H325" i="1"/>
  <c r="H326" i="1"/>
  <c r="H327" i="1"/>
  <c r="H328" i="1"/>
  <c r="H329" i="1"/>
  <c r="H330" i="1"/>
  <c r="H331" i="1"/>
  <c r="H332" i="1"/>
  <c r="J332" i="1" s="1"/>
  <c r="H333" i="1"/>
  <c r="J333" i="1" s="1"/>
  <c r="H334" i="1"/>
  <c r="J334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J3" i="1" l="1"/>
  <c r="L3" i="1"/>
  <c r="J331" i="1"/>
  <c r="J315" i="1"/>
  <c r="J299" i="1"/>
  <c r="J283" i="1"/>
  <c r="J267" i="1"/>
  <c r="J251" i="1"/>
  <c r="J235" i="1"/>
  <c r="J219" i="1"/>
  <c r="J203" i="1"/>
  <c r="J187" i="1"/>
  <c r="J171" i="1"/>
  <c r="J155" i="1"/>
  <c r="J139" i="1"/>
  <c r="J123" i="1"/>
  <c r="J107" i="1"/>
  <c r="J91" i="1"/>
  <c r="J75" i="1"/>
  <c r="J59" i="1"/>
  <c r="J43" i="1"/>
  <c r="J27" i="1"/>
  <c r="J11" i="1"/>
  <c r="J330" i="1"/>
  <c r="J314" i="1"/>
  <c r="J298" i="1"/>
  <c r="J282" i="1"/>
  <c r="J266" i="1"/>
  <c r="J250" i="1"/>
  <c r="J234" i="1"/>
  <c r="J218" i="1"/>
  <c r="J202" i="1"/>
  <c r="J186" i="1"/>
  <c r="J170" i="1"/>
  <c r="J154" i="1"/>
  <c r="J138" i="1"/>
  <c r="J122" i="1"/>
  <c r="J106" i="1"/>
  <c r="J90" i="1"/>
  <c r="J74" i="1"/>
  <c r="J58" i="1"/>
  <c r="J42" i="1"/>
  <c r="J26" i="1"/>
  <c r="J10" i="1"/>
  <c r="J329" i="1"/>
  <c r="J313" i="1"/>
  <c r="J297" i="1"/>
  <c r="J281" i="1"/>
  <c r="J265" i="1"/>
  <c r="J249" i="1"/>
  <c r="J233" i="1"/>
  <c r="J217" i="1"/>
  <c r="J201" i="1"/>
  <c r="J185" i="1"/>
  <c r="J169" i="1"/>
  <c r="J153" i="1"/>
  <c r="J137" i="1"/>
  <c r="J121" i="1"/>
  <c r="J105" i="1"/>
  <c r="J89" i="1"/>
  <c r="J73" i="1"/>
  <c r="J57" i="1"/>
  <c r="J41" i="1"/>
  <c r="J25" i="1"/>
  <c r="J9" i="1"/>
  <c r="J328" i="1"/>
  <c r="J312" i="1"/>
  <c r="J296" i="1"/>
  <c r="J280" i="1"/>
  <c r="J264" i="1"/>
  <c r="J248" i="1"/>
  <c r="J232" i="1"/>
  <c r="J216" i="1"/>
  <c r="J200" i="1"/>
  <c r="J184" i="1"/>
  <c r="J168" i="1"/>
  <c r="J152" i="1"/>
  <c r="J136" i="1"/>
  <c r="J120" i="1"/>
  <c r="J104" i="1"/>
  <c r="J88" i="1"/>
  <c r="J72" i="1"/>
  <c r="J56" i="1"/>
  <c r="J40" i="1"/>
  <c r="J24" i="1"/>
  <c r="J8" i="1"/>
  <c r="J327" i="1"/>
  <c r="J311" i="1"/>
  <c r="J295" i="1"/>
  <c r="J279" i="1"/>
  <c r="J263" i="1"/>
  <c r="J247" i="1"/>
  <c r="J231" i="1"/>
  <c r="J215" i="1"/>
  <c r="J199" i="1"/>
  <c r="J183" i="1"/>
  <c r="J167" i="1"/>
  <c r="J151" i="1"/>
  <c r="J135" i="1"/>
  <c r="J119" i="1"/>
  <c r="J103" i="1"/>
  <c r="J87" i="1"/>
  <c r="J71" i="1"/>
  <c r="J55" i="1"/>
  <c r="J39" i="1"/>
  <c r="J23" i="1"/>
  <c r="J7" i="1"/>
  <c r="J326" i="1"/>
  <c r="J310" i="1"/>
  <c r="J294" i="1"/>
  <c r="J278" i="1"/>
  <c r="J262" i="1"/>
  <c r="J246" i="1"/>
  <c r="J230" i="1"/>
  <c r="J214" i="1"/>
  <c r="J198" i="1"/>
  <c r="J182" i="1"/>
  <c r="J166" i="1"/>
  <c r="J150" i="1"/>
  <c r="J134" i="1"/>
  <c r="J118" i="1"/>
  <c r="J102" i="1"/>
  <c r="J86" i="1"/>
  <c r="J70" i="1"/>
  <c r="J54" i="1"/>
  <c r="J38" i="1"/>
  <c r="J22" i="1"/>
  <c r="J6" i="1"/>
  <c r="J325" i="1"/>
  <c r="J309" i="1"/>
  <c r="J293" i="1"/>
  <c r="J277" i="1"/>
  <c r="J261" i="1"/>
  <c r="J245" i="1"/>
  <c r="J229" i="1"/>
  <c r="J213" i="1"/>
  <c r="J197" i="1"/>
  <c r="J181" i="1"/>
  <c r="J165" i="1"/>
  <c r="J149" i="1"/>
  <c r="J133" i="1"/>
  <c r="J117" i="1"/>
  <c r="J101" i="1"/>
  <c r="J85" i="1"/>
  <c r="J69" i="1"/>
  <c r="J53" i="1"/>
  <c r="J37" i="1"/>
  <c r="J21" i="1"/>
  <c r="J5" i="1"/>
  <c r="J324" i="1"/>
  <c r="J308" i="1"/>
  <c r="J292" i="1"/>
  <c r="J276" i="1"/>
  <c r="J260" i="1"/>
  <c r="J244" i="1"/>
  <c r="J228" i="1"/>
  <c r="J212" i="1"/>
  <c r="J196" i="1"/>
  <c r="J180" i="1"/>
  <c r="J164" i="1"/>
  <c r="J148" i="1"/>
  <c r="J132" i="1"/>
  <c r="J116" i="1"/>
  <c r="J100" i="1"/>
  <c r="J84" i="1"/>
  <c r="J68" i="1"/>
  <c r="J52" i="1"/>
  <c r="J36" i="1"/>
  <c r="J20" i="1"/>
  <c r="J4" i="1"/>
</calcChain>
</file>

<file path=xl/sharedStrings.xml><?xml version="1.0" encoding="utf-8"?>
<sst xmlns="http://schemas.openxmlformats.org/spreadsheetml/2006/main" count="48" uniqueCount="12">
  <si>
    <t>t</t>
  </si>
  <si>
    <t>v</t>
  </si>
  <si>
    <t>θ</t>
  </si>
  <si>
    <t>ω</t>
  </si>
  <si>
    <t>α</t>
  </si>
  <si>
    <t>5 Grados</t>
  </si>
  <si>
    <t>Vt</t>
  </si>
  <si>
    <t>At</t>
  </si>
  <si>
    <t>An</t>
  </si>
  <si>
    <t>10 Grados</t>
  </si>
  <si>
    <t>15 Grados</t>
  </si>
  <si>
    <t>20 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</si>
</sst>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C7C8-B78C-45E4-A46F-1EC12382A39C}">
  <dimension ref="A1:BE334"/>
  <sheetViews>
    <sheetView tabSelected="1" topLeftCell="AN1" workbookViewId="0">
      <selection activeCell="AY3" sqref="AY3"/>
    </sheetView>
  </sheetViews>
  <sheetFormatPr baseColWidth="10" defaultRowHeight="14.4" x14ac:dyDescent="0.3"/>
  <cols>
    <col min="1" max="5" width="11.5546875" style="1"/>
    <col min="14" max="18" width="11.5546875" style="1"/>
    <col min="20" max="25" width="11.5546875" style="1"/>
    <col min="31" max="42" width="11.5546875" style="1"/>
    <col min="46" max="50" width="11.5546875" style="1"/>
  </cols>
  <sheetData>
    <row r="1" spans="1:57" x14ac:dyDescent="0.3">
      <c r="F1" s="1" t="s">
        <v>5</v>
      </c>
      <c r="O1"/>
      <c r="S1" s="1"/>
      <c r="U1" s="1" t="s">
        <v>9</v>
      </c>
      <c r="Z1" s="1"/>
      <c r="AA1" s="1"/>
      <c r="AJ1" s="1" t="s">
        <v>10</v>
      </c>
      <c r="AY1" t="s">
        <v>11</v>
      </c>
    </row>
    <row r="2" spans="1:5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t="s">
        <v>2</v>
      </c>
      <c r="H2" t="s">
        <v>3</v>
      </c>
      <c r="I2" t="s">
        <v>4</v>
      </c>
      <c r="J2" t="s">
        <v>6</v>
      </c>
      <c r="K2" t="s">
        <v>7</v>
      </c>
      <c r="L2" t="s">
        <v>8</v>
      </c>
      <c r="O2"/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/>
      <c r="V2" s="1" t="s">
        <v>2</v>
      </c>
      <c r="W2" s="1" t="s">
        <v>3</v>
      </c>
      <c r="X2" s="1" t="s">
        <v>4</v>
      </c>
      <c r="Y2" s="1" t="s">
        <v>6</v>
      </c>
      <c r="Z2" s="1" t="s">
        <v>7</v>
      </c>
      <c r="AA2" s="1" t="s">
        <v>8</v>
      </c>
      <c r="AE2" s="1" t="s">
        <v>0</v>
      </c>
      <c r="AF2" s="1" t="s">
        <v>1</v>
      </c>
      <c r="AG2" s="1" t="s">
        <v>2</v>
      </c>
      <c r="AH2" s="1" t="s">
        <v>3</v>
      </c>
      <c r="AI2" s="1" t="s">
        <v>4</v>
      </c>
      <c r="AK2" s="1" t="s">
        <v>2</v>
      </c>
      <c r="AL2" s="1" t="s">
        <v>3</v>
      </c>
      <c r="AM2" s="1" t="s">
        <v>4</v>
      </c>
      <c r="AN2" s="1" t="s">
        <v>6</v>
      </c>
      <c r="AO2" s="1" t="s">
        <v>7</v>
      </c>
      <c r="AP2" s="1" t="s">
        <v>8</v>
      </c>
      <c r="AT2" s="1" t="s">
        <v>0</v>
      </c>
      <c r="AU2" s="1" t="s">
        <v>1</v>
      </c>
      <c r="AV2" s="1" t="s">
        <v>2</v>
      </c>
      <c r="AW2" s="1" t="s">
        <v>3</v>
      </c>
      <c r="AX2" s="1" t="s">
        <v>4</v>
      </c>
      <c r="AZ2" s="1" t="s">
        <v>2</v>
      </c>
      <c r="BA2" s="1" t="s">
        <v>3</v>
      </c>
      <c r="BB2" s="1" t="s">
        <v>4</v>
      </c>
      <c r="BC2" s="1" t="s">
        <v>6</v>
      </c>
      <c r="BD2" s="1" t="s">
        <v>7</v>
      </c>
      <c r="BE2" s="1" t="s">
        <v>8</v>
      </c>
    </row>
    <row r="3" spans="1:57" x14ac:dyDescent="0.3">
      <c r="A3" s="1">
        <v>0</v>
      </c>
      <c r="C3" s="1">
        <v>-82.177260000000004</v>
      </c>
      <c r="G3" s="1">
        <f>C3 * PI() / 180</f>
        <v>-1.4342637572674353</v>
      </c>
      <c r="H3" s="1">
        <f>W3</f>
        <v>0</v>
      </c>
      <c r="I3" s="1">
        <f>E3 * PI() / 180</f>
        <v>0</v>
      </c>
      <c r="J3" s="1">
        <f>(0.405*H3)</f>
        <v>0</v>
      </c>
      <c r="K3" s="1">
        <f t="shared" ref="K3:K67" si="0">(0.405*I3)</f>
        <v>0</v>
      </c>
      <c r="L3" s="1">
        <f>(0.405*(H3^2))</f>
        <v>0</v>
      </c>
      <c r="O3"/>
      <c r="P3" s="1">
        <v>3.332222E-2</v>
      </c>
      <c r="R3" s="1">
        <v>-81.02073</v>
      </c>
      <c r="S3" s="1"/>
      <c r="U3"/>
      <c r="V3" s="1">
        <f>R3 * PI() / 180</f>
        <v>-1.4140785008693453</v>
      </c>
      <c r="W3" s="1">
        <f>S3 * PI() / 180</f>
        <v>0</v>
      </c>
      <c r="X3" s="1">
        <f>T3 * PI() / 180</f>
        <v>0</v>
      </c>
      <c r="Y3" s="1">
        <f>(0.405*S3)</f>
        <v>0</v>
      </c>
      <c r="Z3" s="1">
        <f>(0.405*T3)</f>
        <v>0</v>
      </c>
      <c r="AA3" s="1">
        <f>(0.405*(W3^2))</f>
        <v>0</v>
      </c>
      <c r="AE3" s="1">
        <v>0</v>
      </c>
      <c r="AG3" s="1">
        <v>-68.02422</v>
      </c>
      <c r="AK3" s="1">
        <f>AG3 * PI() / 180</f>
        <v>-1.1872466101009771</v>
      </c>
      <c r="AL3" s="1">
        <f>AH3 * PI() / 180</f>
        <v>0</v>
      </c>
      <c r="AM3" s="1">
        <f>AI3 * PI() / 180</f>
        <v>0</v>
      </c>
      <c r="AN3" s="1">
        <f>(0.405*AH3)</f>
        <v>0</v>
      </c>
      <c r="AO3" s="1">
        <f>(0.405*AI3)</f>
        <v>0</v>
      </c>
      <c r="AP3" s="1">
        <f>(0.405*(AL3^2))</f>
        <v>0</v>
      </c>
      <c r="AT3" s="1">
        <v>0.1333222</v>
      </c>
      <c r="AV3" s="1">
        <v>-65.695449999999994</v>
      </c>
      <c r="AZ3" s="1">
        <f>AV3 * PI() / 180</f>
        <v>-1.1466019060793085</v>
      </c>
      <c r="BA3" s="1">
        <f>AW3 * PI() / 180</f>
        <v>0</v>
      </c>
      <c r="BB3" s="1">
        <f>AX3 * PI() / 180</f>
        <v>0</v>
      </c>
      <c r="BC3" s="1">
        <f>(0.405*AW3)</f>
        <v>0</v>
      </c>
      <c r="BD3" s="1">
        <f>(0.405*AX3)</f>
        <v>0</v>
      </c>
      <c r="BE3" s="1">
        <f>(0.405*(BA3^2))</f>
        <v>0</v>
      </c>
    </row>
    <row r="4" spans="1:57" x14ac:dyDescent="0.3">
      <c r="A4" s="1">
        <v>3.3433329999999997E-2</v>
      </c>
      <c r="B4" s="1">
        <v>0.1936513</v>
      </c>
      <c r="C4" s="1">
        <v>-82.599100000000007</v>
      </c>
      <c r="D4" s="1">
        <v>-16.338609999999999</v>
      </c>
      <c r="G4" s="1">
        <f t="shared" ref="G4:G67" si="1">C4 * PI() / 180</f>
        <v>-1.4416262541840483</v>
      </c>
      <c r="H4" s="1">
        <f t="shared" ref="H4:H67" si="2">D4 * PI() / 180</f>
        <v>-0.28516253969927075</v>
      </c>
      <c r="I4" s="1">
        <f t="shared" ref="I4:I67" si="3">E4 * PI() / 180</f>
        <v>0</v>
      </c>
      <c r="J4" s="1">
        <f t="shared" ref="J4:J67" si="4">(0.405*H4)</f>
        <v>-0.11549082857820465</v>
      </c>
      <c r="K4" s="1">
        <f t="shared" si="0"/>
        <v>0</v>
      </c>
      <c r="L4" s="1">
        <f t="shared" ref="L4:L67" si="5">(0.405*(H4^2))</f>
        <v>3.293365798933396E-2</v>
      </c>
      <c r="O4"/>
      <c r="P4" s="1">
        <v>6.6655560000000003E-2</v>
      </c>
      <c r="Q4" s="1">
        <v>0.49563259999999998</v>
      </c>
      <c r="R4" s="1">
        <v>-79.452029999999993</v>
      </c>
      <c r="S4" s="1">
        <v>41.159410000000001</v>
      </c>
      <c r="U4"/>
      <c r="V4" s="1">
        <f t="shared" ref="V4:V67" si="6">R4 * PI() / 180</f>
        <v>-1.3866995208933102</v>
      </c>
      <c r="W4" s="1">
        <f t="shared" ref="W4:W67" si="7">S4 * PI() / 180</f>
        <v>0.71836722267827924</v>
      </c>
      <c r="X4" s="1">
        <f t="shared" ref="X4:X67" si="8">T4 * PI() / 180</f>
        <v>0</v>
      </c>
      <c r="Y4" s="1">
        <f t="shared" ref="Y4:Y67" si="9">(0.405*S4)</f>
        <v>16.669561050000002</v>
      </c>
      <c r="Z4" s="1">
        <f t="shared" ref="Z4:Z67" si="10">(0.405*T4)</f>
        <v>0</v>
      </c>
      <c r="AA4" s="1">
        <f>(0.405*(H4^2))</f>
        <v>3.293365798933396E-2</v>
      </c>
      <c r="AE4" s="1">
        <v>3.3344440000000003E-2</v>
      </c>
      <c r="AF4" s="1">
        <v>0.52815129999999999</v>
      </c>
      <c r="AG4" s="1">
        <v>-69.041550000000001</v>
      </c>
      <c r="AH4" s="1">
        <v>-45.573869999999999</v>
      </c>
      <c r="AK4" s="1">
        <f t="shared" ref="AK4:AK67" si="11">AG4 * PI() / 180</f>
        <v>-1.2050023681802911</v>
      </c>
      <c r="AL4" s="1">
        <f t="shared" ref="AL4:AL67" si="12">AH4 * PI() / 180</f>
        <v>-0.79541408437586814</v>
      </c>
      <c r="AM4" s="1">
        <f t="shared" ref="AM4:AM67" si="13">AI4 * PI() / 180</f>
        <v>0</v>
      </c>
      <c r="AN4" s="1">
        <f t="shared" ref="AN4:AN67" si="14">(0.405*AH4)</f>
        <v>-18.45741735</v>
      </c>
      <c r="AO4" s="1">
        <f t="shared" ref="AO4:AO67" si="15">(0.405*AI4)</f>
        <v>0</v>
      </c>
      <c r="AP4" s="1">
        <f t="shared" ref="AP4:AP67" si="16">(0.405*(AL4^2))</f>
        <v>0.25623684407751779</v>
      </c>
      <c r="AT4" s="1">
        <v>0.1666444</v>
      </c>
      <c r="AU4" s="1">
        <v>1.274934</v>
      </c>
      <c r="AV4" s="1">
        <v>-68.228570000000005</v>
      </c>
      <c r="AW4" s="1">
        <v>-103.95059999999999</v>
      </c>
      <c r="AZ4" s="1">
        <f t="shared" ref="AZ4:AZ67" si="17">AV4 * PI() / 180</f>
        <v>-1.1908131904274275</v>
      </c>
      <c r="BA4" s="1">
        <f t="shared" ref="BA4:BA67" si="18">AW4 * PI() / 180</f>
        <v>-1.8142802294236176</v>
      </c>
      <c r="BB4" s="1">
        <f t="shared" ref="BB4:BB67" si="19">AX4 * PI() / 180</f>
        <v>0</v>
      </c>
      <c r="BC4" s="1">
        <f t="shared" ref="BC4:BC67" si="20">(0.405*AW4)</f>
        <v>-42.099992999999998</v>
      </c>
      <c r="BD4" s="1">
        <f t="shared" ref="BD4:BD67" si="21">(0.405*AX4)</f>
        <v>0</v>
      </c>
      <c r="BE4" s="1">
        <f t="shared" ref="BE4:BE67" si="22">(0.405*(BA4^2))</f>
        <v>1.3331031641053528</v>
      </c>
    </row>
    <row r="5" spans="1:57" x14ac:dyDescent="0.3">
      <c r="A5" s="1">
        <v>6.6655560000000003E-2</v>
      </c>
      <c r="B5" s="1">
        <v>0.26522849999999998</v>
      </c>
      <c r="C5" s="1">
        <v>-83.266319999999993</v>
      </c>
      <c r="D5" s="1">
        <v>-22.381959999999999</v>
      </c>
      <c r="E5" s="1">
        <v>-142.22</v>
      </c>
      <c r="G5" s="1">
        <f t="shared" si="1"/>
        <v>-1.4532714400192046</v>
      </c>
      <c r="H5" s="1">
        <f t="shared" si="2"/>
        <v>-0.39063889504967003</v>
      </c>
      <c r="I5" s="1">
        <f t="shared" si="3"/>
        <v>-2.4822072621863351</v>
      </c>
      <c r="J5" s="1">
        <f t="shared" si="4"/>
        <v>-0.15820875249511637</v>
      </c>
      <c r="K5" s="1">
        <f t="shared" si="0"/>
        <v>-1.0052939411854658</v>
      </c>
      <c r="L5" s="1">
        <f t="shared" si="5"/>
        <v>6.1802492261878984E-2</v>
      </c>
      <c r="O5"/>
      <c r="P5" s="1">
        <v>9.9988889999999997E-2</v>
      </c>
      <c r="Q5" s="1">
        <v>0.31278309999999998</v>
      </c>
      <c r="R5" s="1">
        <v>-78.276769999999999</v>
      </c>
      <c r="S5" s="1">
        <v>25.953759999999999</v>
      </c>
      <c r="T5" s="1">
        <v>-308.72340000000003</v>
      </c>
      <c r="U5"/>
      <c r="V5" s="1">
        <f t="shared" si="6"/>
        <v>-1.3661873643263218</v>
      </c>
      <c r="W5" s="1">
        <f t="shared" si="7"/>
        <v>0.45297856527240349</v>
      </c>
      <c r="X5" s="1">
        <f t="shared" si="8"/>
        <v>-5.3882398079514626</v>
      </c>
      <c r="Y5" s="1">
        <f t="shared" si="9"/>
        <v>10.5112728</v>
      </c>
      <c r="Z5" s="1">
        <f t="shared" si="10"/>
        <v>-125.03297700000002</v>
      </c>
      <c r="AA5" s="1">
        <f>(0.405*(H5^2))</f>
        <v>6.1802492261878984E-2</v>
      </c>
      <c r="AE5" s="1">
        <v>6.6655560000000003E-2</v>
      </c>
      <c r="AF5" s="1">
        <v>0.70428310000000005</v>
      </c>
      <c r="AG5" s="1">
        <v>-71.061970000000002</v>
      </c>
      <c r="AH5" s="1">
        <v>-60.727080000000001</v>
      </c>
      <c r="AI5" s="1">
        <v>-350.46370000000002</v>
      </c>
      <c r="AK5" s="1">
        <f t="shared" si="11"/>
        <v>-1.2402653494534348</v>
      </c>
      <c r="AL5" s="1">
        <f t="shared" si="12"/>
        <v>-1.0598874911219982</v>
      </c>
      <c r="AM5" s="1">
        <f t="shared" si="13"/>
        <v>-6.116745473721652</v>
      </c>
      <c r="AN5" s="1">
        <f t="shared" si="14"/>
        <v>-24.594467400000003</v>
      </c>
      <c r="AO5" s="1">
        <f t="shared" si="15"/>
        <v>-141.93779850000001</v>
      </c>
      <c r="AP5" s="1">
        <f t="shared" si="16"/>
        <v>0.454961405003938</v>
      </c>
      <c r="AT5" s="1">
        <v>0.1999889</v>
      </c>
      <c r="AU5" s="1">
        <v>1.63096</v>
      </c>
      <c r="AV5" s="1">
        <v>-72.625489999999999</v>
      </c>
      <c r="AW5" s="1">
        <v>-133.22149999999999</v>
      </c>
      <c r="AX5" s="1">
        <v>-496.66370000000001</v>
      </c>
      <c r="AZ5" s="1">
        <f t="shared" si="17"/>
        <v>-1.2675539213742166</v>
      </c>
      <c r="BA5" s="1">
        <f t="shared" si="18"/>
        <v>-2.3251538094456254</v>
      </c>
      <c r="BB5" s="1">
        <f t="shared" si="19"/>
        <v>-8.6684168401373611</v>
      </c>
      <c r="BC5" s="1">
        <f t="shared" si="20"/>
        <v>-53.954707499999998</v>
      </c>
      <c r="BD5" s="1">
        <f t="shared" si="21"/>
        <v>-201.14879850000003</v>
      </c>
      <c r="BE5" s="1">
        <f t="shared" si="22"/>
        <v>2.1895677962196993</v>
      </c>
    </row>
    <row r="6" spans="1:57" x14ac:dyDescent="0.3">
      <c r="A6" s="1">
        <v>9.9988889999999997E-2</v>
      </c>
      <c r="B6" s="1">
        <v>0.30574109999999999</v>
      </c>
      <c r="C6" s="1">
        <v>-84.088750000000005</v>
      </c>
      <c r="D6" s="1">
        <v>-25.797740000000001</v>
      </c>
      <c r="E6" s="1">
        <v>-111.4777</v>
      </c>
      <c r="G6" s="1">
        <f t="shared" si="1"/>
        <v>-1.4676255513863818</v>
      </c>
      <c r="H6" s="1">
        <f t="shared" si="2"/>
        <v>-0.45025550257344193</v>
      </c>
      <c r="I6" s="1">
        <f t="shared" si="3"/>
        <v>-1.9456529075504827</v>
      </c>
      <c r="J6" s="1">
        <f t="shared" si="4"/>
        <v>-0.18235347854224399</v>
      </c>
      <c r="K6" s="1">
        <f t="shared" si="0"/>
        <v>-0.78798942755794554</v>
      </c>
      <c r="L6" s="1">
        <f t="shared" si="5"/>
        <v>8.2105657127053422E-2</v>
      </c>
      <c r="O6"/>
      <c r="P6" s="1">
        <v>0.1333222</v>
      </c>
      <c r="Q6" s="1">
        <v>0.22278790000000001</v>
      </c>
      <c r="R6" s="1">
        <v>-77.721770000000006</v>
      </c>
      <c r="S6" s="1">
        <v>18.498609999999999</v>
      </c>
      <c r="T6" s="1">
        <v>-337.5446</v>
      </c>
      <c r="U6"/>
      <c r="V6" s="1">
        <f t="shared" si="6"/>
        <v>-1.3565007869777532</v>
      </c>
      <c r="W6" s="1">
        <f t="shared" si="7"/>
        <v>0.32286165154234825</v>
      </c>
      <c r="X6" s="1">
        <f t="shared" si="8"/>
        <v>-5.8912646423272514</v>
      </c>
      <c r="Y6" s="1">
        <f t="shared" si="9"/>
        <v>7.4919370500000007</v>
      </c>
      <c r="Z6" s="1">
        <f t="shared" si="10"/>
        <v>-136.70556300000001</v>
      </c>
      <c r="AA6" s="1">
        <f>(0.405*(H6^2))</f>
        <v>8.2105657127053422E-2</v>
      </c>
      <c r="AE6" s="1">
        <v>9.9988889999999997E-2</v>
      </c>
      <c r="AF6" s="1">
        <v>0.76425370000000004</v>
      </c>
      <c r="AG6" s="1">
        <v>-73.088669999999993</v>
      </c>
      <c r="AH6" s="1">
        <v>-66.05368</v>
      </c>
      <c r="AI6" s="1">
        <v>-319.41140000000001</v>
      </c>
      <c r="AK6" s="1">
        <f t="shared" si="11"/>
        <v>-1.2756379374036038</v>
      </c>
      <c r="AL6" s="1">
        <f t="shared" si="12"/>
        <v>-1.152854199058728</v>
      </c>
      <c r="AM6" s="1">
        <f t="shared" si="13"/>
        <v>-5.5747805984046161</v>
      </c>
      <c r="AN6" s="1">
        <f t="shared" si="14"/>
        <v>-26.751740400000003</v>
      </c>
      <c r="AO6" s="1">
        <f t="shared" si="15"/>
        <v>-129.36161700000002</v>
      </c>
      <c r="AP6" s="1">
        <f t="shared" si="16"/>
        <v>0.53827448573637326</v>
      </c>
      <c r="AT6" s="1">
        <v>0.23331109999999999</v>
      </c>
      <c r="AU6" s="1">
        <v>1.6146529999999999</v>
      </c>
      <c r="AV6" s="1">
        <v>-77.11</v>
      </c>
      <c r="AW6" s="1">
        <v>-133.61439999999999</v>
      </c>
      <c r="AX6" s="1">
        <v>4.1060280000000002</v>
      </c>
      <c r="AZ6" s="1">
        <f t="shared" si="17"/>
        <v>-1.3458233862128275</v>
      </c>
      <c r="BA6" s="1">
        <f t="shared" si="18"/>
        <v>-2.3320112080767115</v>
      </c>
      <c r="BB6" s="1">
        <f t="shared" si="19"/>
        <v>7.1663707779077726E-2</v>
      </c>
      <c r="BC6" s="1">
        <f t="shared" si="20"/>
        <v>-54.113832000000002</v>
      </c>
      <c r="BD6" s="1">
        <f t="shared" si="21"/>
        <v>1.6629413400000002</v>
      </c>
      <c r="BE6" s="1">
        <f t="shared" si="22"/>
        <v>2.2025018912111385</v>
      </c>
    </row>
    <row r="7" spans="1:57" x14ac:dyDescent="0.3">
      <c r="A7" s="1">
        <v>0.13331109999999999</v>
      </c>
      <c r="B7" s="1">
        <v>0.3483367</v>
      </c>
      <c r="C7" s="1">
        <v>-84.985879999999995</v>
      </c>
      <c r="D7" s="1">
        <v>-29.396930000000001</v>
      </c>
      <c r="E7" s="1">
        <v>-91.760679999999994</v>
      </c>
      <c r="G7" s="1">
        <f t="shared" si="1"/>
        <v>-1.4832834237047985</v>
      </c>
      <c r="H7" s="1">
        <f t="shared" si="2"/>
        <v>-0.51307321847829668</v>
      </c>
      <c r="I7" s="1">
        <f t="shared" si="3"/>
        <v>-1.60152598986891</v>
      </c>
      <c r="J7" s="1">
        <f t="shared" si="4"/>
        <v>-0.20779465348371018</v>
      </c>
      <c r="K7" s="1">
        <f t="shared" si="0"/>
        <v>-0.64861802589690865</v>
      </c>
      <c r="L7" s="1">
        <f t="shared" si="5"/>
        <v>0.10661387164546958</v>
      </c>
      <c r="O7"/>
      <c r="P7" s="1">
        <v>0.16665559999999999</v>
      </c>
      <c r="Q7" s="1">
        <v>8.6620810000000006E-2</v>
      </c>
      <c r="R7" s="1">
        <v>-77.043530000000004</v>
      </c>
      <c r="S7" s="1">
        <v>7.1924999999999999</v>
      </c>
      <c r="T7" s="1">
        <v>-306.71249999999998</v>
      </c>
      <c r="U7"/>
      <c r="V7" s="1">
        <f t="shared" si="6"/>
        <v>-1.344663265859027</v>
      </c>
      <c r="W7" s="1">
        <f t="shared" si="7"/>
        <v>0.12553280644969214</v>
      </c>
      <c r="X7" s="1">
        <f t="shared" si="8"/>
        <v>-5.3531429820231073</v>
      </c>
      <c r="Y7" s="1">
        <f t="shared" si="9"/>
        <v>2.9129625000000003</v>
      </c>
      <c r="Z7" s="1">
        <f t="shared" si="10"/>
        <v>-124.2185625</v>
      </c>
      <c r="AA7" s="1">
        <f>(0.405*(H7^2))</f>
        <v>0.10661387164546958</v>
      </c>
      <c r="AE7" s="1">
        <v>0.1333222</v>
      </c>
      <c r="AF7" s="1">
        <v>0.94713729999999996</v>
      </c>
      <c r="AG7" s="1">
        <v>-75.465549999999993</v>
      </c>
      <c r="AH7" s="1">
        <v>-81.948740000000001</v>
      </c>
      <c r="AI7" s="1">
        <v>-341.46899999999999</v>
      </c>
      <c r="AK7" s="1">
        <f t="shared" si="11"/>
        <v>-1.3171223193284067</v>
      </c>
      <c r="AL7" s="1">
        <f t="shared" si="12"/>
        <v>-1.4302753308607781</v>
      </c>
      <c r="AM7" s="1">
        <f t="shared" si="13"/>
        <v>-5.9597583434925161</v>
      </c>
      <c r="AN7" s="1">
        <f t="shared" si="14"/>
        <v>-33.189239700000002</v>
      </c>
      <c r="AO7" s="1">
        <f t="shared" si="15"/>
        <v>-138.29494500000001</v>
      </c>
      <c r="AP7" s="1">
        <f t="shared" si="16"/>
        <v>0.82850344643790785</v>
      </c>
      <c r="AT7" s="1">
        <v>0.26663330000000002</v>
      </c>
      <c r="AU7" s="1">
        <v>1.5973660000000001</v>
      </c>
      <c r="AV7" s="1">
        <v>-81.530150000000006</v>
      </c>
      <c r="AW7" s="1">
        <v>-132.54349999999999</v>
      </c>
      <c r="AX7" s="1">
        <v>-23.070599999999999</v>
      </c>
      <c r="AZ7" s="1">
        <f t="shared" si="17"/>
        <v>-1.4229695571448551</v>
      </c>
      <c r="BA7" s="1">
        <f t="shared" si="18"/>
        <v>-2.3133204771171041</v>
      </c>
      <c r="BB7" s="1">
        <f t="shared" si="19"/>
        <v>-0.40265793041060377</v>
      </c>
      <c r="BC7" s="1">
        <f t="shared" si="20"/>
        <v>-53.680117500000001</v>
      </c>
      <c r="BD7" s="1">
        <f t="shared" si="21"/>
        <v>-9.3435930000000003</v>
      </c>
      <c r="BE7" s="1">
        <f t="shared" si="22"/>
        <v>2.1673379100889689</v>
      </c>
    </row>
    <row r="8" spans="1:57" x14ac:dyDescent="0.3">
      <c r="A8" s="1">
        <v>0.16665559999999999</v>
      </c>
      <c r="B8" s="1">
        <v>0.38386229999999999</v>
      </c>
      <c r="C8" s="1">
        <v>-86.048540000000003</v>
      </c>
      <c r="D8" s="1">
        <v>-32.391260000000003</v>
      </c>
      <c r="E8" s="1">
        <v>-87.782640000000001</v>
      </c>
      <c r="G8" s="1">
        <f t="shared" si="1"/>
        <v>-1.5018303395340413</v>
      </c>
      <c r="H8" s="1">
        <f t="shared" si="2"/>
        <v>-0.56533413586953851</v>
      </c>
      <c r="I8" s="1">
        <f t="shared" si="3"/>
        <v>-1.5320960940928749</v>
      </c>
      <c r="J8" s="1">
        <f t="shared" si="4"/>
        <v>-0.22896032502716313</v>
      </c>
      <c r="K8" s="1">
        <f t="shared" si="0"/>
        <v>-0.62049891810761437</v>
      </c>
      <c r="L8" s="1">
        <f t="shared" si="5"/>
        <v>0.12943908749763991</v>
      </c>
      <c r="O8"/>
      <c r="P8" s="1">
        <v>0.19997780000000001</v>
      </c>
      <c r="Q8" s="1">
        <v>7.1846699999999999E-2</v>
      </c>
      <c r="R8" s="1">
        <v>-77.242350000000002</v>
      </c>
      <c r="S8" s="1">
        <v>-5.9669910000000002</v>
      </c>
      <c r="T8" s="1">
        <v>-225.61760000000001</v>
      </c>
      <c r="U8"/>
      <c r="V8" s="1">
        <f t="shared" si="6"/>
        <v>-1.3481333294778419</v>
      </c>
      <c r="W8" s="1">
        <f t="shared" si="7"/>
        <v>-0.10414363938686896</v>
      </c>
      <c r="X8" s="1">
        <f t="shared" si="8"/>
        <v>-3.9377699704475586</v>
      </c>
      <c r="Y8" s="1">
        <f t="shared" si="9"/>
        <v>-2.4166313550000003</v>
      </c>
      <c r="Z8" s="1">
        <f t="shared" si="10"/>
        <v>-91.375128000000004</v>
      </c>
      <c r="AA8" s="1">
        <f>(0.405*(H8^2))</f>
        <v>0.12943908749763991</v>
      </c>
      <c r="AE8" s="1">
        <v>0.1666667</v>
      </c>
      <c r="AF8" s="1">
        <v>1.0541229999999999</v>
      </c>
      <c r="AG8" s="1">
        <v>-78.55283</v>
      </c>
      <c r="AH8" s="1">
        <v>-91.324529999999996</v>
      </c>
      <c r="AI8" s="1">
        <v>-253.33940000000001</v>
      </c>
      <c r="AK8" s="1">
        <f t="shared" si="11"/>
        <v>-1.3710055202593772</v>
      </c>
      <c r="AL8" s="1">
        <f t="shared" si="12"/>
        <v>-1.5939137363363369</v>
      </c>
      <c r="AM8" s="1">
        <f t="shared" si="13"/>
        <v>-4.4216066550269231</v>
      </c>
      <c r="AN8" s="1">
        <f t="shared" si="14"/>
        <v>-36.98643465</v>
      </c>
      <c r="AO8" s="1">
        <f t="shared" si="15"/>
        <v>-102.60245700000002</v>
      </c>
      <c r="AP8" s="1">
        <f t="shared" si="16"/>
        <v>1.0289272045470732</v>
      </c>
      <c r="AT8" s="1">
        <v>0.29995559999999999</v>
      </c>
      <c r="AU8" s="1">
        <v>1.6241019999999999</v>
      </c>
      <c r="AV8" s="1">
        <v>-85.943290000000005</v>
      </c>
      <c r="AW8" s="1">
        <v>-134.86259999999999</v>
      </c>
      <c r="AX8" s="1">
        <v>-60.392960000000002</v>
      </c>
      <c r="AZ8" s="1">
        <f t="shared" si="17"/>
        <v>-1.4999933804963175</v>
      </c>
      <c r="BA8" s="1">
        <f t="shared" si="18"/>
        <v>-2.3537964078001044</v>
      </c>
      <c r="BB8" s="1">
        <f t="shared" si="19"/>
        <v>-1.0540559970252346</v>
      </c>
      <c r="BC8" s="1">
        <f t="shared" si="20"/>
        <v>-54.619352999999997</v>
      </c>
      <c r="BD8" s="1">
        <f t="shared" si="21"/>
        <v>-24.459148800000001</v>
      </c>
      <c r="BE8" s="1">
        <f t="shared" si="22"/>
        <v>2.2438447993959336</v>
      </c>
    </row>
    <row r="9" spans="1:57" x14ac:dyDescent="0.3">
      <c r="A9" s="1">
        <v>0.1999667</v>
      </c>
      <c r="B9" s="1">
        <v>0.41214240000000002</v>
      </c>
      <c r="C9" s="1">
        <v>-87.144940000000005</v>
      </c>
      <c r="D9" s="1">
        <v>-34.780439999999999</v>
      </c>
      <c r="E9" s="1">
        <v>-61.871409999999997</v>
      </c>
      <c r="G9" s="1">
        <f t="shared" si="1"/>
        <v>-1.5209661294529073</v>
      </c>
      <c r="H9" s="1">
        <f t="shared" si="2"/>
        <v>-0.60703319329233651</v>
      </c>
      <c r="I9" s="1">
        <f t="shared" si="3"/>
        <v>-1.0798598173513447</v>
      </c>
      <c r="J9" s="1">
        <f t="shared" si="4"/>
        <v>-0.24584844328339631</v>
      </c>
      <c r="K9" s="1">
        <f t="shared" si="0"/>
        <v>-0.43734322602729464</v>
      </c>
      <c r="L9" s="1">
        <f t="shared" si="5"/>
        <v>0.14923816559226993</v>
      </c>
      <c r="O9"/>
      <c r="P9" s="1">
        <v>0.23330000000000001</v>
      </c>
      <c r="Q9" s="1">
        <v>7.1834720000000005E-2</v>
      </c>
      <c r="R9" s="1">
        <v>-77.441199999999995</v>
      </c>
      <c r="S9" s="1">
        <v>-5.9664720000000004</v>
      </c>
      <c r="T9" s="1">
        <v>-1.2126390000000001E-2</v>
      </c>
      <c r="U9"/>
      <c r="V9" s="1">
        <f t="shared" si="6"/>
        <v>-1.3516039166954326</v>
      </c>
      <c r="W9" s="1">
        <f t="shared" si="7"/>
        <v>-0.10413458112805112</v>
      </c>
      <c r="X9" s="1">
        <f t="shared" si="8"/>
        <v>-2.1164543188091517E-4</v>
      </c>
      <c r="Y9" s="1">
        <f t="shared" si="9"/>
        <v>-2.4164211600000005</v>
      </c>
      <c r="Z9" s="1">
        <f t="shared" si="10"/>
        <v>-4.9111879500000006E-3</v>
      </c>
      <c r="AA9" s="1">
        <f>(0.405*(H9^2))</f>
        <v>0.14923816559226993</v>
      </c>
      <c r="AE9" s="1">
        <v>0.1999667</v>
      </c>
      <c r="AF9" s="1">
        <v>1.1086119999999999</v>
      </c>
      <c r="AG9" s="1">
        <v>-81.551820000000006</v>
      </c>
      <c r="AH9" s="1">
        <v>-96.107919999999993</v>
      </c>
      <c r="AI9" s="1">
        <v>-359.07920000000001</v>
      </c>
      <c r="AK9" s="1">
        <f t="shared" si="11"/>
        <v>-1.423347769993762</v>
      </c>
      <c r="AL9" s="1">
        <f t="shared" si="12"/>
        <v>-1.6773996412433085</v>
      </c>
      <c r="AM9" s="1">
        <f t="shared" si="13"/>
        <v>-6.2671143154272224</v>
      </c>
      <c r="AN9" s="1">
        <f t="shared" si="14"/>
        <v>-38.9237076</v>
      </c>
      <c r="AO9" s="1">
        <f t="shared" si="15"/>
        <v>-145.42707600000003</v>
      </c>
      <c r="AP9" s="1">
        <f t="shared" si="16"/>
        <v>1.1395361703594882</v>
      </c>
      <c r="AT9" s="1">
        <v>0.33329999999999999</v>
      </c>
      <c r="AU9" s="1">
        <v>1.657845</v>
      </c>
      <c r="AV9" s="1">
        <v>-90.520989999999998</v>
      </c>
      <c r="AW9" s="1">
        <v>-137.27760000000001</v>
      </c>
      <c r="AX9" s="1">
        <v>-93.950230000000005</v>
      </c>
      <c r="AZ9" s="1">
        <f t="shared" si="17"/>
        <v>-1.5798893176648618</v>
      </c>
      <c r="BA9" s="1">
        <f t="shared" si="18"/>
        <v>-2.3959461092357679</v>
      </c>
      <c r="BB9" s="1">
        <f t="shared" si="19"/>
        <v>-1.6397408465059522</v>
      </c>
      <c r="BC9" s="1">
        <f t="shared" si="20"/>
        <v>-55.597428000000008</v>
      </c>
      <c r="BD9" s="1">
        <f t="shared" si="21"/>
        <v>-38.049843150000001</v>
      </c>
      <c r="BE9" s="1">
        <f t="shared" si="22"/>
        <v>2.3249258921366156</v>
      </c>
    </row>
    <row r="10" spans="1:57" x14ac:dyDescent="0.3">
      <c r="A10" s="1">
        <v>0.23330000000000001</v>
      </c>
      <c r="B10" s="1">
        <v>0.43770160000000002</v>
      </c>
      <c r="C10" s="1">
        <v>-88.366470000000007</v>
      </c>
      <c r="D10" s="1">
        <v>-36.938510000000001</v>
      </c>
      <c r="E10" s="1">
        <v>-35.424430000000001</v>
      </c>
      <c r="G10" s="1">
        <f t="shared" si="1"/>
        <v>-1.5422858498647938</v>
      </c>
      <c r="H10" s="1">
        <f t="shared" si="2"/>
        <v>-0.64469862028085068</v>
      </c>
      <c r="I10" s="1">
        <f t="shared" si="3"/>
        <v>-0.6182729391422549</v>
      </c>
      <c r="J10" s="1">
        <f t="shared" si="4"/>
        <v>-0.26110294121374455</v>
      </c>
      <c r="K10" s="1">
        <f t="shared" si="0"/>
        <v>-0.25040054035261328</v>
      </c>
      <c r="L10" s="1">
        <f t="shared" si="5"/>
        <v>0.16833270595177316</v>
      </c>
      <c r="O10"/>
      <c r="P10" s="1">
        <v>0.26663330000000002</v>
      </c>
      <c r="Q10" s="1">
        <v>7.1834720000000005E-2</v>
      </c>
      <c r="R10" s="1">
        <v>-77.640050000000002</v>
      </c>
      <c r="S10" s="1">
        <v>-5.9668039999999998</v>
      </c>
      <c r="T10" s="1">
        <v>-173.95699999999999</v>
      </c>
      <c r="U10"/>
      <c r="V10" s="1">
        <f t="shared" si="6"/>
        <v>-1.3550745039130234</v>
      </c>
      <c r="W10" s="1">
        <f t="shared" si="7"/>
        <v>-0.10414037562116774</v>
      </c>
      <c r="X10" s="1">
        <f t="shared" si="8"/>
        <v>-3.0361224068917756</v>
      </c>
      <c r="Y10" s="1">
        <f t="shared" si="9"/>
        <v>-2.41655562</v>
      </c>
      <c r="Z10" s="1">
        <f t="shared" si="10"/>
        <v>-70.452584999999999</v>
      </c>
      <c r="AA10" s="1">
        <f>(0.405*(H10^2))</f>
        <v>0.16833270595177316</v>
      </c>
      <c r="AE10" s="1">
        <v>0.23331109999999999</v>
      </c>
      <c r="AF10" s="1">
        <v>1.3282719999999999</v>
      </c>
      <c r="AG10" s="1">
        <v>-84.957890000000006</v>
      </c>
      <c r="AH10" s="1">
        <v>-115.255</v>
      </c>
      <c r="AI10" s="1">
        <v>-235.93780000000001</v>
      </c>
      <c r="AK10" s="1">
        <f t="shared" si="11"/>
        <v>-1.4827949060471655</v>
      </c>
      <c r="AL10" s="1">
        <f t="shared" si="12"/>
        <v>-2.0115792293860641</v>
      </c>
      <c r="AM10" s="1">
        <f t="shared" si="13"/>
        <v>-4.1178914399118769</v>
      </c>
      <c r="AN10" s="1">
        <f t="shared" si="14"/>
        <v>-46.678274999999999</v>
      </c>
      <c r="AO10" s="1">
        <f t="shared" si="15"/>
        <v>-95.554809000000006</v>
      </c>
      <c r="AP10" s="1">
        <f t="shared" si="16"/>
        <v>1.6388126534194598</v>
      </c>
      <c r="AT10" s="1">
        <v>0.36661110000000002</v>
      </c>
      <c r="AU10" s="1">
        <v>1.6949209999999999</v>
      </c>
      <c r="AV10" s="1">
        <v>-95.093599999999995</v>
      </c>
      <c r="AW10" s="1">
        <v>-140.34979999999999</v>
      </c>
      <c r="AX10" s="1">
        <v>38.042369999999998</v>
      </c>
      <c r="AZ10" s="1">
        <f t="shared" si="17"/>
        <v>-1.6596964175744795</v>
      </c>
      <c r="BA10" s="1">
        <f t="shared" si="18"/>
        <v>-2.4495661145155374</v>
      </c>
      <c r="BB10" s="1">
        <f t="shared" si="19"/>
        <v>0.66396461176191512</v>
      </c>
      <c r="BC10" s="1">
        <f t="shared" si="20"/>
        <v>-56.841668999999996</v>
      </c>
      <c r="BD10" s="1">
        <f t="shared" si="21"/>
        <v>15.407159850000001</v>
      </c>
      <c r="BE10" s="1">
        <f t="shared" si="22"/>
        <v>2.4301515305000128</v>
      </c>
    </row>
    <row r="11" spans="1:57" x14ac:dyDescent="0.3">
      <c r="A11" s="1">
        <v>0.26662219999999998</v>
      </c>
      <c r="B11" s="1">
        <v>0.4381216</v>
      </c>
      <c r="C11" s="1">
        <v>-89.607089999999999</v>
      </c>
      <c r="D11" s="1">
        <v>-36.977809999999998</v>
      </c>
      <c r="E11" s="1">
        <v>10.608409999999999</v>
      </c>
      <c r="G11" s="1">
        <f t="shared" si="1"/>
        <v>-1.5639387536308855</v>
      </c>
      <c r="H11" s="1">
        <f t="shared" si="2"/>
        <v>-0.64538453467688428</v>
      </c>
      <c r="I11" s="1">
        <f t="shared" si="3"/>
        <v>0.18515168290149164</v>
      </c>
      <c r="J11" s="1">
        <f t="shared" si="4"/>
        <v>-0.26138073654413813</v>
      </c>
      <c r="K11" s="1">
        <f t="shared" si="0"/>
        <v>7.4986431575104123E-2</v>
      </c>
      <c r="L11" s="1">
        <f t="shared" si="5"/>
        <v>0.16869108502803987</v>
      </c>
      <c r="O11"/>
      <c r="P11" s="1">
        <v>0.29995559999999999</v>
      </c>
      <c r="Q11" s="1">
        <v>0.1939661</v>
      </c>
      <c r="R11" s="1">
        <v>-77.838920000000002</v>
      </c>
      <c r="S11" s="1">
        <v>-16.11234</v>
      </c>
      <c r="T11" s="1">
        <v>-346.95249999999999</v>
      </c>
      <c r="U11"/>
      <c r="V11" s="1">
        <f t="shared" si="6"/>
        <v>-1.3585454401964645</v>
      </c>
      <c r="W11" s="1">
        <f t="shared" si="7"/>
        <v>-0.28121338320078315</v>
      </c>
      <c r="X11" s="1">
        <f t="shared" si="8"/>
        <v>-6.0554634730256263</v>
      </c>
      <c r="Y11" s="1">
        <f t="shared" si="9"/>
        <v>-6.5254977000000007</v>
      </c>
      <c r="Z11" s="1">
        <f t="shared" si="10"/>
        <v>-140.51576249999999</v>
      </c>
      <c r="AA11" s="1">
        <f>(0.405*(H11^2))</f>
        <v>0.16869108502803987</v>
      </c>
      <c r="AE11" s="1">
        <v>0.26665559999999999</v>
      </c>
      <c r="AF11" s="1">
        <v>1.3407169999999999</v>
      </c>
      <c r="AG11" s="1">
        <v>-89.238050000000001</v>
      </c>
      <c r="AH11" s="1">
        <v>-116.4072</v>
      </c>
      <c r="AI11" s="1">
        <v>26.51033</v>
      </c>
      <c r="AK11" s="1">
        <f t="shared" si="11"/>
        <v>-1.5574977905593259</v>
      </c>
      <c r="AL11" s="1">
        <f t="shared" si="12"/>
        <v>-2.0316889130275433</v>
      </c>
      <c r="AM11" s="1">
        <f t="shared" si="13"/>
        <v>0.46269254429022827</v>
      </c>
      <c r="AN11" s="1">
        <f t="shared" si="14"/>
        <v>-47.144916000000002</v>
      </c>
      <c r="AO11" s="1">
        <f t="shared" si="15"/>
        <v>10.73668365</v>
      </c>
      <c r="AP11" s="1">
        <f t="shared" si="16"/>
        <v>1.6717427349242113</v>
      </c>
      <c r="AT11" s="1">
        <v>0.39994439999999998</v>
      </c>
      <c r="AU11" s="1">
        <v>1.655378</v>
      </c>
      <c r="AV11" s="1">
        <v>-99.874520000000004</v>
      </c>
      <c r="AW11" s="1">
        <v>-136.59829999999999</v>
      </c>
      <c r="AX11" s="1">
        <v>1587.8050000000001</v>
      </c>
      <c r="AZ11" s="1">
        <f t="shared" si="17"/>
        <v>-1.7431392128489271</v>
      </c>
      <c r="BA11" s="1">
        <f t="shared" si="18"/>
        <v>-2.3840900876269702</v>
      </c>
      <c r="BB11" s="1">
        <f t="shared" si="19"/>
        <v>27.712425129628567</v>
      </c>
      <c r="BC11" s="1">
        <f t="shared" si="20"/>
        <v>-55.322311500000005</v>
      </c>
      <c r="BD11" s="1">
        <f t="shared" si="21"/>
        <v>643.06102500000009</v>
      </c>
      <c r="BE11" s="1">
        <f t="shared" si="22"/>
        <v>2.3019736460980758</v>
      </c>
    </row>
    <row r="12" spans="1:57" x14ac:dyDescent="0.3">
      <c r="A12" s="1">
        <v>0.29996669999999998</v>
      </c>
      <c r="B12" s="1">
        <v>0.42865249999999999</v>
      </c>
      <c r="C12" s="1">
        <v>-90.831649999999996</v>
      </c>
      <c r="D12" s="1">
        <v>-36.186999999999998</v>
      </c>
      <c r="E12" s="1">
        <v>-0.57844169999999995</v>
      </c>
      <c r="G12" s="1">
        <f t="shared" si="1"/>
        <v>-1.5853113575191071</v>
      </c>
      <c r="H12" s="1">
        <f t="shared" si="2"/>
        <v>-0.63158229641918795</v>
      </c>
      <c r="I12" s="1">
        <f t="shared" si="3"/>
        <v>-1.0095712195833283E-2</v>
      </c>
      <c r="J12" s="1">
        <f t="shared" si="4"/>
        <v>-0.25579083004977116</v>
      </c>
      <c r="K12" s="1">
        <f t="shared" si="0"/>
        <v>-4.0887634393124801E-3</v>
      </c>
      <c r="L12" s="1">
        <f t="shared" si="5"/>
        <v>0.16155295984580467</v>
      </c>
      <c r="O12"/>
      <c r="P12" s="1">
        <v>0.3332889</v>
      </c>
      <c r="Q12" s="1">
        <v>0.37657040000000003</v>
      </c>
      <c r="R12" s="1">
        <v>-78.714029999999994</v>
      </c>
      <c r="S12" s="1">
        <v>-31.275030000000001</v>
      </c>
      <c r="T12" s="1">
        <v>29.069109999999998</v>
      </c>
      <c r="U12"/>
      <c r="V12" s="1">
        <f t="shared" si="6"/>
        <v>-1.3738189910135921</v>
      </c>
      <c r="W12" s="1">
        <f t="shared" si="7"/>
        <v>-0.54585224716000214</v>
      </c>
      <c r="X12" s="1">
        <f t="shared" si="8"/>
        <v>0.50735168012440879</v>
      </c>
      <c r="Y12" s="1">
        <f t="shared" si="9"/>
        <v>-12.666387150000002</v>
      </c>
      <c r="Z12" s="1">
        <f t="shared" si="10"/>
        <v>11.77298955</v>
      </c>
      <c r="AA12" s="1">
        <f>(0.405*(H12^2))</f>
        <v>0.16155295984580467</v>
      </c>
      <c r="AE12" s="1">
        <v>0.29996669999999998</v>
      </c>
      <c r="AF12" s="1">
        <v>1.2403839999999999</v>
      </c>
      <c r="AG12" s="1">
        <v>-92.717070000000007</v>
      </c>
      <c r="AH12" s="1">
        <v>-107.79259999999999</v>
      </c>
      <c r="AI12" s="1">
        <v>210.62209999999999</v>
      </c>
      <c r="AK12" s="1">
        <f t="shared" si="11"/>
        <v>-1.6182181443020589</v>
      </c>
      <c r="AL12" s="1">
        <f t="shared" si="12"/>
        <v>-1.8813357792852394</v>
      </c>
      <c r="AM12" s="1">
        <f t="shared" si="13"/>
        <v>3.6760491224647485</v>
      </c>
      <c r="AN12" s="1">
        <f t="shared" si="14"/>
        <v>-43.656002999999998</v>
      </c>
      <c r="AO12" s="1">
        <f t="shared" si="15"/>
        <v>85.301950500000004</v>
      </c>
      <c r="AP12" s="1">
        <f t="shared" si="16"/>
        <v>1.4334668473396139</v>
      </c>
      <c r="AT12" s="1">
        <v>0.43327779999999999</v>
      </c>
      <c r="AU12" s="1">
        <v>0.53637610000000002</v>
      </c>
      <c r="AV12" s="1">
        <v>-104.2002</v>
      </c>
      <c r="AW12" s="1">
        <v>-44.25159</v>
      </c>
      <c r="AX12" s="1">
        <v>2320.6990000000001</v>
      </c>
      <c r="AZ12" s="1">
        <f t="shared" si="17"/>
        <v>-1.8186365712365953</v>
      </c>
      <c r="BA12" s="1">
        <f t="shared" si="18"/>
        <v>-0.77233594474259759</v>
      </c>
      <c r="BB12" s="1">
        <f t="shared" si="19"/>
        <v>40.503838497739885</v>
      </c>
      <c r="BC12" s="1">
        <f t="shared" si="20"/>
        <v>-17.921893950000001</v>
      </c>
      <c r="BD12" s="1">
        <f t="shared" si="21"/>
        <v>939.88309500000014</v>
      </c>
      <c r="BE12" s="1">
        <f t="shared" si="22"/>
        <v>0.24158363867428354</v>
      </c>
    </row>
    <row r="13" spans="1:57" x14ac:dyDescent="0.3">
      <c r="A13" s="1">
        <v>0.33329999999999999</v>
      </c>
      <c r="B13" s="1">
        <v>0.4351546</v>
      </c>
      <c r="C13" s="1">
        <v>-92.019959999999998</v>
      </c>
      <c r="D13" s="1">
        <v>-36.739660000000001</v>
      </c>
      <c r="E13" s="1">
        <v>20.653130000000001</v>
      </c>
      <c r="G13" s="1">
        <f t="shared" si="1"/>
        <v>-1.6060512795534811</v>
      </c>
      <c r="H13" s="1">
        <f t="shared" si="2"/>
        <v>-0.64122803306325993</v>
      </c>
      <c r="I13" s="1">
        <f t="shared" si="3"/>
        <v>0.36046511934241648</v>
      </c>
      <c r="J13" s="1">
        <f t="shared" si="4"/>
        <v>-0.25969735339062028</v>
      </c>
      <c r="K13" s="1">
        <f t="shared" si="0"/>
        <v>0.14598837333367867</v>
      </c>
      <c r="L13" s="1">
        <f t="shared" si="5"/>
        <v>0.16652522310640178</v>
      </c>
      <c r="O13"/>
      <c r="P13" s="1">
        <v>0.36661110000000002</v>
      </c>
      <c r="Q13" s="1">
        <v>0.2040285</v>
      </c>
      <c r="R13" s="1">
        <v>-79.923569999999998</v>
      </c>
      <c r="S13" s="1">
        <v>-16.92557</v>
      </c>
      <c r="T13" s="1">
        <v>-28.271820000000002</v>
      </c>
      <c r="U13"/>
      <c r="V13" s="1">
        <f t="shared" si="6"/>
        <v>-1.3949294464481643</v>
      </c>
      <c r="W13" s="1">
        <f t="shared" si="7"/>
        <v>-0.29540692427677662</v>
      </c>
      <c r="X13" s="1">
        <f t="shared" si="8"/>
        <v>-0.49343634453118329</v>
      </c>
      <c r="Y13" s="1">
        <f t="shared" si="9"/>
        <v>-6.8548558500000007</v>
      </c>
      <c r="Z13" s="1">
        <f t="shared" si="10"/>
        <v>-11.450087100000001</v>
      </c>
      <c r="AA13" s="1">
        <f>(0.405*(H13^2))</f>
        <v>0.16652522310640178</v>
      </c>
      <c r="AE13" s="1">
        <v>0.3332889</v>
      </c>
      <c r="AF13" s="1">
        <v>1.217981</v>
      </c>
      <c r="AG13" s="1">
        <v>-96.420630000000003</v>
      </c>
      <c r="AH13" s="1">
        <v>-105.82689999999999</v>
      </c>
      <c r="AI13" s="1">
        <v>173.7578</v>
      </c>
      <c r="AK13" s="1">
        <f t="shared" si="11"/>
        <v>-1.6828574603472199</v>
      </c>
      <c r="AL13" s="1">
        <f t="shared" si="12"/>
        <v>-1.8470278421787871</v>
      </c>
      <c r="AM13" s="1">
        <f t="shared" si="13"/>
        <v>3.0326457110218028</v>
      </c>
      <c r="AN13" s="1">
        <f t="shared" si="14"/>
        <v>-42.859894500000003</v>
      </c>
      <c r="AO13" s="1">
        <f t="shared" si="15"/>
        <v>70.371909000000002</v>
      </c>
      <c r="AP13" s="1">
        <f t="shared" si="16"/>
        <v>1.3816622991623688</v>
      </c>
      <c r="AT13" s="1">
        <v>0.46663329999999997</v>
      </c>
      <c r="AU13" s="1">
        <v>0.51893929999999999</v>
      </c>
      <c r="AV13" s="1">
        <v>-102.82559999999999</v>
      </c>
      <c r="AW13" s="1">
        <v>41.511380000000003</v>
      </c>
      <c r="AX13" s="1">
        <v>1477.162</v>
      </c>
      <c r="AZ13" s="1">
        <f t="shared" si="17"/>
        <v>-1.794645275338681</v>
      </c>
      <c r="BA13" s="1">
        <f t="shared" si="18"/>
        <v>0.72451025804652369</v>
      </c>
      <c r="BB13" s="1">
        <f t="shared" si="19"/>
        <v>25.781340485344476</v>
      </c>
      <c r="BC13" s="1">
        <f t="shared" si="20"/>
        <v>16.812108900000002</v>
      </c>
      <c r="BD13" s="1">
        <f t="shared" si="21"/>
        <v>598.25061000000005</v>
      </c>
      <c r="BE13" s="1">
        <f t="shared" si="22"/>
        <v>0.21259062117592933</v>
      </c>
    </row>
    <row r="14" spans="1:57" x14ac:dyDescent="0.3">
      <c r="A14" s="1">
        <v>0.3666333</v>
      </c>
      <c r="B14" s="1">
        <v>0.4210314</v>
      </c>
      <c r="C14" s="1">
        <v>-93.280959999999993</v>
      </c>
      <c r="D14" s="1">
        <v>-35.545520000000003</v>
      </c>
      <c r="E14" s="1">
        <v>74.998350000000002</v>
      </c>
      <c r="G14" s="1">
        <f t="shared" si="1"/>
        <v>-1.6280598814211293</v>
      </c>
      <c r="H14" s="1">
        <f t="shared" si="2"/>
        <v>-0.62038635833349487</v>
      </c>
      <c r="I14" s="1">
        <f t="shared" si="3"/>
        <v>1.3089681410630893</v>
      </c>
      <c r="J14" s="1">
        <f t="shared" si="4"/>
        <v>-0.25125647512506544</v>
      </c>
      <c r="K14" s="1">
        <f t="shared" si="0"/>
        <v>0.53013209713055121</v>
      </c>
      <c r="L14" s="1">
        <f t="shared" si="5"/>
        <v>0.15587608961054969</v>
      </c>
      <c r="O14"/>
      <c r="P14" s="1">
        <v>0.39994439999999998</v>
      </c>
      <c r="Q14" s="1">
        <v>0.27971449999999998</v>
      </c>
      <c r="R14" s="1">
        <v>-79.842209999999994</v>
      </c>
      <c r="S14" s="1">
        <v>-23.226179999999999</v>
      </c>
      <c r="T14" s="1">
        <v>-654.7971</v>
      </c>
      <c r="U14"/>
      <c r="V14" s="1">
        <f t="shared" si="6"/>
        <v>-1.3935094465687416</v>
      </c>
      <c r="W14" s="1">
        <f t="shared" si="7"/>
        <v>-0.40537331366085655</v>
      </c>
      <c r="X14" s="1">
        <f t="shared" si="8"/>
        <v>-11.42836532751056</v>
      </c>
      <c r="Y14" s="1">
        <f t="shared" si="9"/>
        <v>-9.4066029000000011</v>
      </c>
      <c r="Z14" s="1">
        <f t="shared" si="10"/>
        <v>-265.19282550000003</v>
      </c>
      <c r="AA14" s="1">
        <f>(0.405*(H14^2))</f>
        <v>0.15587608961054969</v>
      </c>
      <c r="AE14" s="1">
        <v>0.36661110000000002</v>
      </c>
      <c r="AF14" s="1">
        <v>1.0927819999999999</v>
      </c>
      <c r="AG14" s="1">
        <v>-99.769850000000005</v>
      </c>
      <c r="AH14" s="1">
        <v>-94.950329999999994</v>
      </c>
      <c r="AI14" s="1">
        <v>292.74579999999997</v>
      </c>
      <c r="AK14" s="1">
        <f t="shared" si="11"/>
        <v>-1.7413123767208645</v>
      </c>
      <c r="AL14" s="1">
        <f t="shared" si="12"/>
        <v>-1.6571958843551473</v>
      </c>
      <c r="AM14" s="1">
        <f t="shared" si="13"/>
        <v>5.1093780813848149</v>
      </c>
      <c r="AN14" s="1">
        <f t="shared" si="14"/>
        <v>-38.454883649999999</v>
      </c>
      <c r="AO14" s="1">
        <f t="shared" si="15"/>
        <v>118.562049</v>
      </c>
      <c r="AP14" s="1">
        <f t="shared" si="16"/>
        <v>1.1122507706450737</v>
      </c>
      <c r="AT14" s="1">
        <v>0.49993330000000002</v>
      </c>
      <c r="AU14" s="1">
        <v>0.51911240000000003</v>
      </c>
      <c r="AV14" s="1">
        <v>-101.4332</v>
      </c>
      <c r="AW14" s="1">
        <v>42.042270000000002</v>
      </c>
      <c r="AX14" s="1">
        <v>14.88435</v>
      </c>
      <c r="AZ14" s="1">
        <f t="shared" si="17"/>
        <v>-1.7703433108339122</v>
      </c>
      <c r="BA14" s="1">
        <f t="shared" si="18"/>
        <v>0.73377603651243639</v>
      </c>
      <c r="BB14" s="1">
        <f t="shared" si="19"/>
        <v>0.25978091451921798</v>
      </c>
      <c r="BC14" s="1">
        <f t="shared" si="20"/>
        <v>17.027119350000003</v>
      </c>
      <c r="BD14" s="1">
        <f t="shared" si="21"/>
        <v>6.0281617499999998</v>
      </c>
      <c r="BE14" s="1">
        <f t="shared" si="22"/>
        <v>0.21806304506275967</v>
      </c>
    </row>
    <row r="15" spans="1:57" x14ac:dyDescent="0.3">
      <c r="A15" s="1">
        <v>0.39994439999999998</v>
      </c>
      <c r="B15" s="1">
        <v>0.36985760000000001</v>
      </c>
      <c r="C15" s="1">
        <v>-94.388869999999997</v>
      </c>
      <c r="D15" s="1">
        <v>-31.22842</v>
      </c>
      <c r="E15" s="1">
        <v>131.9358</v>
      </c>
      <c r="G15" s="1">
        <f t="shared" si="1"/>
        <v>-1.6473965587368999</v>
      </c>
      <c r="H15" s="1">
        <f t="shared" si="2"/>
        <v>-0.54503874919564754</v>
      </c>
      <c r="I15" s="1">
        <f t="shared" si="3"/>
        <v>2.3027141112527345</v>
      </c>
      <c r="J15" s="1">
        <f t="shared" si="4"/>
        <v>-0.22074069342423727</v>
      </c>
      <c r="K15" s="1">
        <f t="shared" si="0"/>
        <v>0.93259921505735754</v>
      </c>
      <c r="L15" s="1">
        <f t="shared" si="5"/>
        <v>0.12031223144052619</v>
      </c>
      <c r="O15"/>
      <c r="P15" s="1">
        <v>0.4333111</v>
      </c>
      <c r="Q15" s="1">
        <v>0.81795549999999995</v>
      </c>
      <c r="R15" s="1">
        <v>-81.472759999999994</v>
      </c>
      <c r="S15" s="1">
        <v>-67.957130000000006</v>
      </c>
      <c r="T15" s="1">
        <v>-488.82729999999998</v>
      </c>
      <c r="U15"/>
      <c r="V15" s="1">
        <f t="shared" si="6"/>
        <v>-1.4219679126871352</v>
      </c>
      <c r="W15" s="1">
        <f t="shared" si="7"/>
        <v>-1.1860756687058143</v>
      </c>
      <c r="X15" s="1">
        <f t="shared" si="8"/>
        <v>-8.5316458586340769</v>
      </c>
      <c r="Y15" s="1">
        <f t="shared" si="9"/>
        <v>-27.522637650000004</v>
      </c>
      <c r="Z15" s="1">
        <f t="shared" si="10"/>
        <v>-197.97505649999999</v>
      </c>
      <c r="AA15" s="1">
        <f>(0.405*(H15^2))</f>
        <v>0.12031223144052619</v>
      </c>
      <c r="AE15" s="1">
        <v>0.39995560000000002</v>
      </c>
      <c r="AF15" s="1">
        <v>0.98879079999999997</v>
      </c>
      <c r="AG15" s="1">
        <v>-102.75069999999999</v>
      </c>
      <c r="AH15" s="1">
        <v>-85.940250000000006</v>
      </c>
      <c r="AI15" s="1">
        <v>883.54190000000006</v>
      </c>
      <c r="AK15" s="1">
        <f t="shared" si="11"/>
        <v>-1.7933380237289376</v>
      </c>
      <c r="AL15" s="1">
        <f t="shared" si="12"/>
        <v>-1.4999403224870571</v>
      </c>
      <c r="AM15" s="1">
        <f t="shared" si="13"/>
        <v>15.420715234326488</v>
      </c>
      <c r="AN15" s="1">
        <f t="shared" si="14"/>
        <v>-34.805801250000002</v>
      </c>
      <c r="AO15" s="1">
        <f t="shared" si="15"/>
        <v>357.83446950000007</v>
      </c>
      <c r="AP15" s="1">
        <f t="shared" si="16"/>
        <v>0.91117749326414366</v>
      </c>
      <c r="AT15" s="1">
        <v>0.53326669999999998</v>
      </c>
      <c r="AU15" s="1">
        <v>0.51893929999999999</v>
      </c>
      <c r="AV15" s="1">
        <v>-100.02419999999999</v>
      </c>
      <c r="AW15" s="1">
        <v>42.503740000000001</v>
      </c>
      <c r="AX15" s="1">
        <v>13.59578</v>
      </c>
      <c r="AZ15" s="1">
        <f t="shared" si="17"/>
        <v>-1.745751621673312</v>
      </c>
      <c r="BA15" s="1">
        <f t="shared" si="18"/>
        <v>0.74183020741161465</v>
      </c>
      <c r="BB15" s="1">
        <f t="shared" si="19"/>
        <v>0.23729112537679464</v>
      </c>
      <c r="BC15" s="1">
        <f t="shared" si="20"/>
        <v>17.2140147</v>
      </c>
      <c r="BD15" s="1">
        <f t="shared" si="21"/>
        <v>5.5062908999999998</v>
      </c>
      <c r="BE15" s="1">
        <f t="shared" si="22"/>
        <v>0.2228763829344855</v>
      </c>
    </row>
    <row r="16" spans="1:57" x14ac:dyDescent="0.3">
      <c r="A16" s="1">
        <v>0.43327779999999999</v>
      </c>
      <c r="B16" s="1">
        <v>0.3177451</v>
      </c>
      <c r="C16" s="1">
        <v>-95.362160000000003</v>
      </c>
      <c r="D16" s="1">
        <v>-26.830359999999999</v>
      </c>
      <c r="E16" s="1">
        <v>118.2124</v>
      </c>
      <c r="G16" s="1">
        <f t="shared" si="1"/>
        <v>-1.6643836738136355</v>
      </c>
      <c r="H16" s="1">
        <f t="shared" si="2"/>
        <v>-0.46827812149538572</v>
      </c>
      <c r="I16" s="1">
        <f t="shared" si="3"/>
        <v>2.0631955966845448</v>
      </c>
      <c r="J16" s="1">
        <f t="shared" si="4"/>
        <v>-0.18965263920563122</v>
      </c>
      <c r="K16" s="1">
        <f t="shared" si="0"/>
        <v>0.83559421665724065</v>
      </c>
      <c r="L16" s="1">
        <f t="shared" si="5"/>
        <v>8.8810181623855136E-2</v>
      </c>
      <c r="O16"/>
      <c r="P16" s="1">
        <v>0.46660000000000001</v>
      </c>
      <c r="Q16" s="1">
        <v>0.73978080000000002</v>
      </c>
      <c r="R16" s="1">
        <v>-84.371930000000006</v>
      </c>
      <c r="S16" s="1">
        <v>-61.309019999999997</v>
      </c>
      <c r="T16" s="1">
        <v>70.470190000000002</v>
      </c>
      <c r="U16"/>
      <c r="V16" s="1">
        <f t="shared" si="6"/>
        <v>-1.4725679747621794</v>
      </c>
      <c r="W16" s="1">
        <f t="shared" si="7"/>
        <v>-1.0700442601710538</v>
      </c>
      <c r="X16" s="1">
        <f t="shared" si="8"/>
        <v>1.2299368400059829</v>
      </c>
      <c r="Y16" s="1">
        <f t="shared" si="9"/>
        <v>-24.8301531</v>
      </c>
      <c r="Z16" s="1">
        <f t="shared" si="10"/>
        <v>28.540426950000004</v>
      </c>
      <c r="AA16" s="1">
        <f>(0.405*(H16^2))</f>
        <v>8.8810181623855136E-2</v>
      </c>
      <c r="AE16" s="1">
        <v>0.43328889999999998</v>
      </c>
      <c r="AF16" s="1">
        <v>0.47976839999999998</v>
      </c>
      <c r="AG16" s="1">
        <v>-105.50020000000001</v>
      </c>
      <c r="AH16" s="1">
        <v>-41.691130000000001</v>
      </c>
      <c r="AI16" s="1">
        <v>1108.645</v>
      </c>
      <c r="AK16" s="1">
        <f t="shared" si="11"/>
        <v>-1.8413258515125219</v>
      </c>
      <c r="AL16" s="1">
        <f t="shared" si="12"/>
        <v>-0.72764748737698348</v>
      </c>
      <c r="AM16" s="1">
        <f t="shared" si="13"/>
        <v>19.349505485772532</v>
      </c>
      <c r="AN16" s="1">
        <f t="shared" si="14"/>
        <v>-16.884907650000002</v>
      </c>
      <c r="AO16" s="1">
        <f t="shared" si="15"/>
        <v>449.00122500000003</v>
      </c>
      <c r="AP16" s="1">
        <f t="shared" si="16"/>
        <v>0.21443570068384513</v>
      </c>
      <c r="AT16" s="1">
        <v>0.56658889999999995</v>
      </c>
      <c r="AU16" s="1">
        <v>0.5188528</v>
      </c>
      <c r="AV16" s="1">
        <v>-98.600080000000005</v>
      </c>
      <c r="AW16" s="1">
        <v>42.927410000000002</v>
      </c>
      <c r="AX16" s="1">
        <v>12.20804</v>
      </c>
      <c r="AZ16" s="1">
        <f t="shared" si="17"/>
        <v>-1.7208960387298107</v>
      </c>
      <c r="BA16" s="1">
        <f t="shared" si="18"/>
        <v>0.74922464385353904</v>
      </c>
      <c r="BB16" s="1">
        <f t="shared" si="19"/>
        <v>0.21307049321516855</v>
      </c>
      <c r="BC16" s="1">
        <f t="shared" si="20"/>
        <v>17.385601050000002</v>
      </c>
      <c r="BD16" s="1">
        <f t="shared" si="21"/>
        <v>4.9442562000000008</v>
      </c>
      <c r="BE16" s="1">
        <f t="shared" si="22"/>
        <v>0.22734171461777228</v>
      </c>
    </row>
    <row r="17" spans="1:57" x14ac:dyDescent="0.3">
      <c r="A17" s="1">
        <v>0.4666111</v>
      </c>
      <c r="B17" s="1">
        <v>0.27397539999999998</v>
      </c>
      <c r="C17" s="1">
        <v>-96.17756</v>
      </c>
      <c r="D17" s="1">
        <v>-23.135380000000001</v>
      </c>
      <c r="E17" s="1">
        <v>229.715</v>
      </c>
      <c r="G17" s="1">
        <f t="shared" si="1"/>
        <v>-1.6786150885343976</v>
      </c>
      <c r="H17" s="1">
        <f t="shared" si="2"/>
        <v>-0.40378855470004577</v>
      </c>
      <c r="I17" s="1">
        <f t="shared" si="3"/>
        <v>4.0092830912187738</v>
      </c>
      <c r="J17" s="1">
        <f t="shared" si="4"/>
        <v>-0.16353436465351853</v>
      </c>
      <c r="K17" s="1">
        <f t="shared" si="0"/>
        <v>1.6237596519436035</v>
      </c>
      <c r="L17" s="1">
        <f t="shared" si="5"/>
        <v>6.6033304747234498E-2</v>
      </c>
      <c r="O17"/>
      <c r="P17" s="1">
        <v>0.49992219999999998</v>
      </c>
      <c r="Q17" s="1">
        <v>0.61207670000000003</v>
      </c>
      <c r="R17" s="1">
        <v>-85.556619999999995</v>
      </c>
      <c r="S17" s="1">
        <v>-50.986260000000001</v>
      </c>
      <c r="T17" s="1">
        <v>67.253349999999998</v>
      </c>
      <c r="U17"/>
      <c r="V17" s="1">
        <f t="shared" si="6"/>
        <v>-1.493244715877631</v>
      </c>
      <c r="W17" s="1">
        <f t="shared" si="7"/>
        <v>-0.8898781102778841</v>
      </c>
      <c r="X17" s="1">
        <f t="shared" si="8"/>
        <v>1.1737923904961285</v>
      </c>
      <c r="Y17" s="1">
        <f t="shared" si="9"/>
        <v>-20.6494353</v>
      </c>
      <c r="Z17" s="1">
        <f t="shared" si="10"/>
        <v>27.237606750000001</v>
      </c>
      <c r="AA17" s="1">
        <f>(0.405*(H17^2))</f>
        <v>6.6033304747234498E-2</v>
      </c>
      <c r="AE17" s="1">
        <v>0.4666111</v>
      </c>
      <c r="AF17" s="1">
        <v>1.08822E-2</v>
      </c>
      <c r="AG17" s="1">
        <v>-105.5296</v>
      </c>
      <c r="AH17" s="1">
        <v>-0.88336130000000002</v>
      </c>
      <c r="AI17" s="1">
        <v>699.79949999999997</v>
      </c>
      <c r="AK17" s="1">
        <f t="shared" si="11"/>
        <v>-1.8418389783126079</v>
      </c>
      <c r="AL17" s="1">
        <f t="shared" si="12"/>
        <v>-1.5417563169697387E-2</v>
      </c>
      <c r="AM17" s="1">
        <f t="shared" si="13"/>
        <v>12.213805378810058</v>
      </c>
      <c r="AN17" s="1">
        <f t="shared" si="14"/>
        <v>-0.35776132650000003</v>
      </c>
      <c r="AO17" s="1">
        <f t="shared" si="15"/>
        <v>283.41879749999998</v>
      </c>
      <c r="AP17" s="1">
        <f t="shared" si="16"/>
        <v>9.6269007907101795E-5</v>
      </c>
      <c r="AT17" s="1">
        <v>0.5999333</v>
      </c>
      <c r="AU17" s="1">
        <v>0.51893929999999999</v>
      </c>
      <c r="AV17" s="1">
        <v>-97.162369999999996</v>
      </c>
      <c r="AW17" s="1">
        <v>43.317680000000003</v>
      </c>
      <c r="AX17" s="1">
        <v>10.736700000000001</v>
      </c>
      <c r="AZ17" s="1">
        <f t="shared" si="17"/>
        <v>-1.6958032655409627</v>
      </c>
      <c r="BA17" s="1">
        <f t="shared" si="18"/>
        <v>0.75603614032529742</v>
      </c>
      <c r="BB17" s="1">
        <f t="shared" si="19"/>
        <v>0.1873907657988752</v>
      </c>
      <c r="BC17" s="1">
        <f t="shared" si="20"/>
        <v>17.543660400000004</v>
      </c>
      <c r="BD17" s="1">
        <f t="shared" si="21"/>
        <v>4.3483635000000005</v>
      </c>
      <c r="BE17" s="1">
        <f t="shared" si="22"/>
        <v>0.23149421141857898</v>
      </c>
    </row>
    <row r="18" spans="1:57" x14ac:dyDescent="0.3">
      <c r="A18" s="1">
        <v>0.4999556</v>
      </c>
      <c r="B18" s="1">
        <v>0.151203</v>
      </c>
      <c r="C18" s="1">
        <v>-96.904780000000002</v>
      </c>
      <c r="D18" s="1">
        <v>-12.76896</v>
      </c>
      <c r="E18" s="1">
        <v>255.36279999999999</v>
      </c>
      <c r="G18" s="1">
        <f t="shared" si="1"/>
        <v>-1.6913074719207506</v>
      </c>
      <c r="H18" s="1">
        <f t="shared" si="2"/>
        <v>-0.22286039405545516</v>
      </c>
      <c r="I18" s="1">
        <f t="shared" si="3"/>
        <v>4.4569216471117761</v>
      </c>
      <c r="J18" s="1">
        <f t="shared" si="4"/>
        <v>-9.0258459592459345E-2</v>
      </c>
      <c r="K18" s="1">
        <f t="shared" si="0"/>
        <v>1.8050532670802695</v>
      </c>
      <c r="L18" s="1">
        <f t="shared" si="5"/>
        <v>2.0115035871613868E-2</v>
      </c>
      <c r="O18"/>
      <c r="P18" s="1">
        <v>0.53325560000000005</v>
      </c>
      <c r="Q18" s="1">
        <v>0.77886109999999997</v>
      </c>
      <c r="R18" s="1">
        <v>-87.770449999999997</v>
      </c>
      <c r="S18" s="1">
        <v>-65.033670000000001</v>
      </c>
      <c r="T18" s="1">
        <v>-250.8563</v>
      </c>
      <c r="U18"/>
      <c r="V18" s="1">
        <f t="shared" si="6"/>
        <v>-1.5318833384570569</v>
      </c>
      <c r="W18" s="1">
        <f t="shared" si="7"/>
        <v>-1.1350516661554608</v>
      </c>
      <c r="X18" s="1">
        <f t="shared" si="8"/>
        <v>-4.3782683843706511</v>
      </c>
      <c r="Y18" s="1">
        <f t="shared" si="9"/>
        <v>-26.338636350000002</v>
      </c>
      <c r="Z18" s="1">
        <f t="shared" si="10"/>
        <v>-101.59680150000001</v>
      </c>
      <c r="AA18" s="1">
        <f>(0.405*(H18^2))</f>
        <v>2.0115035871613868E-2</v>
      </c>
      <c r="AE18" s="1">
        <v>0.49994440000000001</v>
      </c>
      <c r="AF18" s="1">
        <v>1.0884019999999999E-2</v>
      </c>
      <c r="AG18" s="1">
        <v>-105.559</v>
      </c>
      <c r="AH18" s="1">
        <v>-0.88316240000000001</v>
      </c>
      <c r="AI18" s="1">
        <v>1.0393329999999999E-2</v>
      </c>
      <c r="AK18" s="1">
        <f t="shared" si="11"/>
        <v>-1.8423521051126941</v>
      </c>
      <c r="AL18" s="1">
        <f t="shared" si="12"/>
        <v>-1.5414091709815168E-2</v>
      </c>
      <c r="AM18" s="1">
        <f t="shared" si="13"/>
        <v>1.8139782874630221E-4</v>
      </c>
      <c r="AN18" s="1">
        <f t="shared" si="14"/>
        <v>-0.35768077200000004</v>
      </c>
      <c r="AO18" s="1">
        <f t="shared" si="15"/>
        <v>4.2092986500000002E-3</v>
      </c>
      <c r="AP18" s="1">
        <f t="shared" si="16"/>
        <v>9.6225660411630053E-5</v>
      </c>
      <c r="AT18" s="1">
        <v>0.63324440000000004</v>
      </c>
      <c r="AU18" s="1">
        <v>0.51911240000000003</v>
      </c>
      <c r="AV18" s="1">
        <v>-95.712710000000001</v>
      </c>
      <c r="AW18" s="1">
        <v>43.664859999999997</v>
      </c>
      <c r="AX18" s="1">
        <v>9.1795299999999997</v>
      </c>
      <c r="AZ18" s="1">
        <f t="shared" si="17"/>
        <v>-1.6705019255065019</v>
      </c>
      <c r="BA18" s="1">
        <f t="shared" si="18"/>
        <v>0.76209557442237119</v>
      </c>
      <c r="BB18" s="1">
        <f t="shared" si="19"/>
        <v>0.16021302228559506</v>
      </c>
      <c r="BC18" s="1">
        <f t="shared" si="20"/>
        <v>17.684268299999999</v>
      </c>
      <c r="BD18" s="1">
        <f t="shared" si="21"/>
        <v>3.7177096500000002</v>
      </c>
      <c r="BE18" s="1">
        <f t="shared" si="22"/>
        <v>0.23521981414443641</v>
      </c>
    </row>
    <row r="19" spans="1:57" x14ac:dyDescent="0.3">
      <c r="A19" s="1">
        <v>0.53327780000000002</v>
      </c>
      <c r="B19" s="1">
        <v>4.4136109999999999E-2</v>
      </c>
      <c r="C19" s="1">
        <v>-97.028829999999999</v>
      </c>
      <c r="D19" s="1">
        <v>-3.7230129999999999</v>
      </c>
      <c r="E19" s="1">
        <v>155.1369</v>
      </c>
      <c r="G19" s="1">
        <f t="shared" si="1"/>
        <v>-1.6934725528578496</v>
      </c>
      <c r="H19" s="1">
        <f t="shared" si="2"/>
        <v>-6.4978834944551644E-2</v>
      </c>
      <c r="I19" s="1">
        <f t="shared" si="3"/>
        <v>2.707649696337191</v>
      </c>
      <c r="J19" s="1">
        <f t="shared" si="4"/>
        <v>-2.6316428152543418E-2</v>
      </c>
      <c r="K19" s="1">
        <f t="shared" si="0"/>
        <v>1.0965981270165623</v>
      </c>
      <c r="L19" s="1">
        <f t="shared" si="5"/>
        <v>1.710010841254271E-3</v>
      </c>
      <c r="O19"/>
      <c r="P19" s="1">
        <v>0.56661110000000003</v>
      </c>
      <c r="Q19" s="1">
        <v>0.77794890000000005</v>
      </c>
      <c r="R19" s="1">
        <v>-89.893640000000005</v>
      </c>
      <c r="S19" s="1">
        <v>-64.937219999999996</v>
      </c>
      <c r="T19" s="1">
        <v>9.5246530000000007</v>
      </c>
      <c r="U19"/>
      <c r="V19" s="1">
        <f t="shared" si="6"/>
        <v>-1.5689399946024756</v>
      </c>
      <c r="W19" s="1">
        <f t="shared" si="7"/>
        <v>-1.1333682960919123</v>
      </c>
      <c r="X19" s="1">
        <f t="shared" si="8"/>
        <v>0.16623655495995548</v>
      </c>
      <c r="Y19" s="1">
        <f t="shared" si="9"/>
        <v>-26.299574100000001</v>
      </c>
      <c r="Z19" s="1">
        <f t="shared" si="10"/>
        <v>3.8574844650000006</v>
      </c>
      <c r="AA19" s="1">
        <f>(0.405*(H19^2))</f>
        <v>1.710010841254271E-3</v>
      </c>
      <c r="AE19" s="1">
        <v>0.53325560000000005</v>
      </c>
      <c r="AF19" s="1">
        <v>1.0884019999999999E-2</v>
      </c>
      <c r="AG19" s="1">
        <v>-105.5885</v>
      </c>
      <c r="AH19" s="1">
        <v>-0.88281580000000004</v>
      </c>
      <c r="AI19" s="1">
        <v>1.0399449999999999E-2</v>
      </c>
      <c r="AK19" s="1">
        <f t="shared" si="11"/>
        <v>-1.8428669772420325</v>
      </c>
      <c r="AL19" s="1">
        <f t="shared" si="12"/>
        <v>-1.5408042398627756E-2</v>
      </c>
      <c r="AM19" s="1">
        <f t="shared" si="13"/>
        <v>1.8150464289652429E-4</v>
      </c>
      <c r="AN19" s="1">
        <f t="shared" si="14"/>
        <v>-0.35754039900000006</v>
      </c>
      <c r="AO19" s="1">
        <f t="shared" si="15"/>
        <v>4.2117772499999998E-3</v>
      </c>
      <c r="AP19" s="1">
        <f t="shared" si="16"/>
        <v>9.6150147075953798E-5</v>
      </c>
      <c r="AT19" s="1">
        <v>0.66656669999999996</v>
      </c>
      <c r="AU19" s="1">
        <v>0.51876630000000001</v>
      </c>
      <c r="AV19" s="1">
        <v>-94.252830000000003</v>
      </c>
      <c r="AW19" s="1">
        <v>43.915280000000003</v>
      </c>
      <c r="AX19" s="1">
        <v>7.5622129999999999</v>
      </c>
      <c r="AZ19" s="1">
        <f t="shared" si="17"/>
        <v>-1.645022212822487</v>
      </c>
      <c r="BA19" s="1">
        <f t="shared" si="18"/>
        <v>0.76646622793521546</v>
      </c>
      <c r="BB19" s="1">
        <f t="shared" si="19"/>
        <v>0.13198551558711796</v>
      </c>
      <c r="BC19" s="1">
        <f t="shared" si="20"/>
        <v>17.785688400000002</v>
      </c>
      <c r="BD19" s="1">
        <f t="shared" si="21"/>
        <v>3.062696265</v>
      </c>
      <c r="BE19" s="1">
        <f t="shared" si="22"/>
        <v>0.23792554381892128</v>
      </c>
    </row>
    <row r="20" spans="1:57" x14ac:dyDescent="0.3">
      <c r="A20" s="1">
        <v>0.56659999999999999</v>
      </c>
      <c r="B20" s="1">
        <v>4.4136109999999999E-2</v>
      </c>
      <c r="C20" s="1">
        <v>-97.152900000000002</v>
      </c>
      <c r="D20" s="1">
        <v>-3.723757</v>
      </c>
      <c r="E20" s="1">
        <v>-2.1806880000000001E-2</v>
      </c>
      <c r="G20" s="1">
        <f t="shared" si="1"/>
        <v>-1.695637982860799</v>
      </c>
      <c r="H20" s="1">
        <f t="shared" si="2"/>
        <v>-6.4991820194186492E-2</v>
      </c>
      <c r="I20" s="1">
        <f t="shared" si="3"/>
        <v>-3.8060185558730104E-4</v>
      </c>
      <c r="J20" s="1">
        <f t="shared" si="4"/>
        <v>-2.6321687178645532E-2</v>
      </c>
      <c r="K20" s="1">
        <f t="shared" si="0"/>
        <v>-1.5414375151285694E-4</v>
      </c>
      <c r="L20" s="1">
        <f t="shared" si="5"/>
        <v>1.7106943603221545E-3</v>
      </c>
      <c r="O20"/>
      <c r="P20" s="1">
        <v>0.59991110000000003</v>
      </c>
      <c r="Q20" s="1">
        <v>0.77029320000000001</v>
      </c>
      <c r="R20" s="1">
        <v>-92.098879999999994</v>
      </c>
      <c r="S20" s="1">
        <v>-65.038319999999999</v>
      </c>
      <c r="T20" s="1">
        <v>32.776150000000001</v>
      </c>
      <c r="U20"/>
      <c r="V20" s="1">
        <f t="shared" si="6"/>
        <v>-1.6074286933991551</v>
      </c>
      <c r="W20" s="1">
        <f t="shared" si="7"/>
        <v>-1.1351328239656784</v>
      </c>
      <c r="X20" s="1">
        <f t="shared" si="8"/>
        <v>0.57205173362753947</v>
      </c>
      <c r="Y20" s="1">
        <f t="shared" si="9"/>
        <v>-26.3405196</v>
      </c>
      <c r="Z20" s="1">
        <f t="shared" si="10"/>
        <v>13.274340750000002</v>
      </c>
      <c r="AA20" s="1">
        <f>(0.405*(H20^2))</f>
        <v>1.7106943603221545E-3</v>
      </c>
      <c r="AE20" s="1">
        <v>0.56658889999999995</v>
      </c>
      <c r="AF20" s="1">
        <v>1.088039E-2</v>
      </c>
      <c r="AG20" s="1">
        <v>-105.61790000000001</v>
      </c>
      <c r="AH20" s="1">
        <v>-0.88217489999999998</v>
      </c>
      <c r="AI20" s="1">
        <v>1.0345089999999999E-2</v>
      </c>
      <c r="AK20" s="1">
        <f t="shared" si="11"/>
        <v>-1.8433801040421192</v>
      </c>
      <c r="AL20" s="1">
        <f t="shared" si="12"/>
        <v>-1.5396856583451725E-2</v>
      </c>
      <c r="AM20" s="1">
        <f t="shared" si="13"/>
        <v>1.8055588191514017E-4</v>
      </c>
      <c r="AN20" s="1">
        <f t="shared" si="14"/>
        <v>-0.35728083450000003</v>
      </c>
      <c r="AO20" s="1">
        <f t="shared" si="15"/>
        <v>4.1897614500000001E-3</v>
      </c>
      <c r="AP20" s="1">
        <f t="shared" si="16"/>
        <v>9.6010593023809201E-5</v>
      </c>
      <c r="AT20" s="1">
        <v>0.69992220000000005</v>
      </c>
      <c r="AU20" s="1">
        <v>0.5188528</v>
      </c>
      <c r="AV20" s="1">
        <v>-92.784540000000007</v>
      </c>
      <c r="AW20" s="1">
        <v>44.147060000000003</v>
      </c>
      <c r="AX20" s="1">
        <v>5.8811309999999999</v>
      </c>
      <c r="AZ20" s="1">
        <f t="shared" si="17"/>
        <v>-1.6193957179483796</v>
      </c>
      <c r="BA20" s="1">
        <f t="shared" si="18"/>
        <v>0.77051155207548794</v>
      </c>
      <c r="BB20" s="1">
        <f t="shared" si="19"/>
        <v>0.10264509969110662</v>
      </c>
      <c r="BC20" s="1">
        <f t="shared" si="20"/>
        <v>17.879559300000004</v>
      </c>
      <c r="BD20" s="1">
        <f t="shared" si="21"/>
        <v>2.3818580549999999</v>
      </c>
      <c r="BE20" s="1">
        <f t="shared" si="22"/>
        <v>0.24044366101211984</v>
      </c>
    </row>
    <row r="21" spans="1:57" x14ac:dyDescent="0.3">
      <c r="A21" s="1">
        <v>0.59992219999999996</v>
      </c>
      <c r="B21" s="1">
        <v>4.4136109999999999E-2</v>
      </c>
      <c r="C21" s="1">
        <v>-97.276989999999998</v>
      </c>
      <c r="D21" s="1">
        <v>-3.7244660000000001</v>
      </c>
      <c r="E21" s="1">
        <v>-2.076097E-2</v>
      </c>
      <c r="G21" s="1">
        <f t="shared" si="1"/>
        <v>-1.6978037619295987</v>
      </c>
      <c r="H21" s="1">
        <f t="shared" si="2"/>
        <v>-6.5004194578583127E-2</v>
      </c>
      <c r="I21" s="1">
        <f t="shared" si="3"/>
        <v>-3.6234728240776715E-4</v>
      </c>
      <c r="J21" s="1">
        <f t="shared" si="4"/>
        <v>-2.6326698804326167E-2</v>
      </c>
      <c r="K21" s="1">
        <f t="shared" si="0"/>
        <v>-1.4675064937514571E-4</v>
      </c>
      <c r="L21" s="1">
        <f t="shared" si="5"/>
        <v>1.7113458516881698E-3</v>
      </c>
      <c r="O21"/>
      <c r="P21" s="1">
        <v>0.63335560000000002</v>
      </c>
      <c r="Q21" s="1">
        <v>0.74021269999999995</v>
      </c>
      <c r="R21" s="1">
        <v>-94.234589999999997</v>
      </c>
      <c r="S21" s="1">
        <v>-62.461190000000002</v>
      </c>
      <c r="T21" s="1">
        <v>133.4556</v>
      </c>
      <c r="U21"/>
      <c r="V21" s="1">
        <f t="shared" si="6"/>
        <v>-1.6447038647669232</v>
      </c>
      <c r="W21" s="1">
        <f t="shared" si="7"/>
        <v>-1.0901534202137571</v>
      </c>
      <c r="X21" s="1">
        <f t="shared" si="8"/>
        <v>2.3292396252245444</v>
      </c>
      <c r="Y21" s="1">
        <f t="shared" si="9"/>
        <v>-25.296781950000003</v>
      </c>
      <c r="Z21" s="1">
        <f t="shared" si="10"/>
        <v>54.049518000000006</v>
      </c>
      <c r="AA21" s="1">
        <f>(0.405*(H21^2))</f>
        <v>1.7113458516881698E-3</v>
      </c>
      <c r="AE21" s="1">
        <v>0.59992219999999996</v>
      </c>
      <c r="AF21" s="1">
        <v>1.08155E-2</v>
      </c>
      <c r="AG21" s="1">
        <v>-105.6473</v>
      </c>
      <c r="AH21" s="1">
        <v>-0.87656860000000003</v>
      </c>
      <c r="AI21" s="1">
        <v>1.041333E-2</v>
      </c>
      <c r="AK21" s="1">
        <f t="shared" si="11"/>
        <v>-1.8438932308422051</v>
      </c>
      <c r="AL21" s="1">
        <f t="shared" si="12"/>
        <v>-1.5299008189597167E-2</v>
      </c>
      <c r="AM21" s="1">
        <f t="shared" si="13"/>
        <v>1.817468945967011E-4</v>
      </c>
      <c r="AN21" s="1">
        <f t="shared" si="14"/>
        <v>-0.35501028300000004</v>
      </c>
      <c r="AO21" s="1">
        <f t="shared" si="15"/>
        <v>4.2173986500000007E-3</v>
      </c>
      <c r="AP21" s="1">
        <f t="shared" si="16"/>
        <v>9.4794158892071295E-5</v>
      </c>
      <c r="AT21" s="1">
        <v>0.73323329999999998</v>
      </c>
      <c r="AU21" s="1">
        <v>0.51911240000000003</v>
      </c>
      <c r="AV21" s="1">
        <v>-91.309700000000007</v>
      </c>
      <c r="AW21" s="1">
        <v>44.336820000000003</v>
      </c>
      <c r="AX21" s="1">
        <v>4.1546630000000002</v>
      </c>
      <c r="AZ21" s="1">
        <f t="shared" si="17"/>
        <v>-1.5936549040082664</v>
      </c>
      <c r="BA21" s="1">
        <f t="shared" si="18"/>
        <v>0.77382348886407237</v>
      </c>
      <c r="BB21" s="1">
        <f t="shared" si="19"/>
        <v>7.2512548660785173E-2</v>
      </c>
      <c r="BC21" s="1">
        <f t="shared" si="20"/>
        <v>17.956412100000001</v>
      </c>
      <c r="BD21" s="1">
        <f t="shared" si="21"/>
        <v>1.6826385150000003</v>
      </c>
      <c r="BE21" s="1">
        <f t="shared" si="22"/>
        <v>0.24251513072669487</v>
      </c>
    </row>
    <row r="22" spans="1:57" x14ac:dyDescent="0.3">
      <c r="A22" s="1">
        <v>0.63324440000000004</v>
      </c>
      <c r="B22" s="1">
        <v>4.4128750000000001E-2</v>
      </c>
      <c r="C22" s="1">
        <v>-97.401110000000003</v>
      </c>
      <c r="D22" s="1">
        <v>-3.7245200000000001</v>
      </c>
      <c r="E22" s="1">
        <v>129.76070000000001</v>
      </c>
      <c r="G22" s="1">
        <f t="shared" si="1"/>
        <v>-1.699970064597174</v>
      </c>
      <c r="H22" s="1">
        <f t="shared" si="2"/>
        <v>-6.5005137056379197E-2</v>
      </c>
      <c r="I22" s="1">
        <f t="shared" si="3"/>
        <v>2.2647514546926062</v>
      </c>
      <c r="J22" s="1">
        <f t="shared" si="4"/>
        <v>-2.6327080507833577E-2</v>
      </c>
      <c r="K22" s="1">
        <f t="shared" si="0"/>
        <v>0.91722433915050561</v>
      </c>
      <c r="L22" s="1">
        <f t="shared" si="5"/>
        <v>1.711395476706051E-3</v>
      </c>
      <c r="O22"/>
      <c r="P22" s="1">
        <v>0.66661110000000001</v>
      </c>
      <c r="Q22" s="1">
        <v>0.67132219999999998</v>
      </c>
      <c r="R22" s="1">
        <v>-96.265039999999999</v>
      </c>
      <c r="S22" s="1">
        <v>-56.64884</v>
      </c>
      <c r="T22" s="1">
        <v>191.27369999999999</v>
      </c>
      <c r="U22"/>
      <c r="V22" s="1">
        <f t="shared" si="6"/>
        <v>-1.6801419025640421</v>
      </c>
      <c r="W22" s="1">
        <f t="shared" si="7"/>
        <v>-0.98870877543546443</v>
      </c>
      <c r="X22" s="1">
        <f t="shared" si="8"/>
        <v>3.3383558374718776</v>
      </c>
      <c r="Y22" s="1">
        <f t="shared" si="9"/>
        <v>-22.942780200000001</v>
      </c>
      <c r="Z22" s="1">
        <f t="shared" si="10"/>
        <v>77.465848500000007</v>
      </c>
      <c r="AA22" s="1">
        <f>(0.405*(H22^2))</f>
        <v>1.711395476706051E-3</v>
      </c>
      <c r="AE22" s="1">
        <v>0.63365559999999999</v>
      </c>
      <c r="AF22" s="1">
        <v>1.08822E-2</v>
      </c>
      <c r="AG22" s="1">
        <v>-105.6767</v>
      </c>
      <c r="AH22" s="1">
        <v>-0.88162770000000001</v>
      </c>
      <c r="AI22" s="1">
        <v>1.0421100000000001E-2</v>
      </c>
      <c r="AK22" s="1">
        <f t="shared" si="11"/>
        <v>-1.8444063576422915</v>
      </c>
      <c r="AL22" s="1">
        <f t="shared" si="12"/>
        <v>-1.5387306141784811E-2</v>
      </c>
      <c r="AM22" s="1">
        <f t="shared" si="13"/>
        <v>1.8188250667958107E-4</v>
      </c>
      <c r="AN22" s="1">
        <f t="shared" si="14"/>
        <v>-0.35705921850000005</v>
      </c>
      <c r="AO22" s="1">
        <f t="shared" si="15"/>
        <v>4.2205455000000006E-3</v>
      </c>
      <c r="AP22" s="1">
        <f t="shared" si="16"/>
        <v>9.5891522071908484E-5</v>
      </c>
      <c r="AT22" s="1">
        <v>0.7665556</v>
      </c>
      <c r="AU22" s="1">
        <v>0.51893929999999999</v>
      </c>
      <c r="AV22" s="1">
        <v>-89.83023</v>
      </c>
      <c r="AW22" s="1">
        <v>44.431469999999997</v>
      </c>
      <c r="AX22" s="1">
        <v>2.3955449999999998</v>
      </c>
      <c r="AZ22" s="1">
        <f t="shared" si="17"/>
        <v>-1.5678332813237859</v>
      </c>
      <c r="BA22" s="1">
        <f t="shared" si="18"/>
        <v>0.77547544300108484</v>
      </c>
      <c r="BB22" s="1">
        <f t="shared" si="19"/>
        <v>4.1810147629687558E-2</v>
      </c>
      <c r="BC22" s="1">
        <f t="shared" si="20"/>
        <v>17.994745349999999</v>
      </c>
      <c r="BD22" s="1">
        <f t="shared" si="21"/>
        <v>0.97019572499999995</v>
      </c>
      <c r="BE22" s="1">
        <f t="shared" si="22"/>
        <v>0.24355167589258017</v>
      </c>
    </row>
    <row r="23" spans="1:57" x14ac:dyDescent="0.3">
      <c r="A23" s="1">
        <v>0.6665778</v>
      </c>
      <c r="B23" s="1">
        <v>4.5510780000000001E-2</v>
      </c>
      <c r="C23" s="1">
        <v>-97.52525</v>
      </c>
      <c r="D23" s="1">
        <v>3.8440829999999999</v>
      </c>
      <c r="E23" s="1">
        <v>258.67759999999998</v>
      </c>
      <c r="G23" s="1">
        <f t="shared" si="1"/>
        <v>-1.7021367163305998</v>
      </c>
      <c r="H23" s="1">
        <f t="shared" si="2"/>
        <v>6.7091905069941171E-2</v>
      </c>
      <c r="I23" s="1">
        <f t="shared" si="3"/>
        <v>4.5147758211568831</v>
      </c>
      <c r="J23" s="1">
        <f t="shared" si="4"/>
        <v>2.7172221553326176E-2</v>
      </c>
      <c r="K23" s="1">
        <f t="shared" si="0"/>
        <v>1.8284842075685377</v>
      </c>
      <c r="L23" s="1">
        <f t="shared" si="5"/>
        <v>1.8230361089951693E-3</v>
      </c>
      <c r="O23"/>
      <c r="P23" s="1">
        <v>0.69989999999999997</v>
      </c>
      <c r="Q23" s="1">
        <v>0.58328400000000002</v>
      </c>
      <c r="R23" s="1">
        <v>-98.004260000000002</v>
      </c>
      <c r="S23" s="1">
        <v>-49.185220000000001</v>
      </c>
      <c r="T23" s="1">
        <v>235.303</v>
      </c>
      <c r="U23"/>
      <c r="V23" s="1">
        <f t="shared" si="6"/>
        <v>-1.7104970179805778</v>
      </c>
      <c r="W23" s="1">
        <f t="shared" si="7"/>
        <v>-0.85844403231776534</v>
      </c>
      <c r="X23" s="1">
        <f t="shared" si="8"/>
        <v>4.1068120898202176</v>
      </c>
      <c r="Y23" s="1">
        <f t="shared" si="9"/>
        <v>-19.920014100000003</v>
      </c>
      <c r="Z23" s="1">
        <f t="shared" si="10"/>
        <v>95.297715000000011</v>
      </c>
      <c r="AA23" s="1">
        <f>(0.405*(H23^2))</f>
        <v>1.8230361089951693E-3</v>
      </c>
      <c r="AE23" s="1">
        <v>0.6665778</v>
      </c>
      <c r="AF23" s="1">
        <v>1.09479E-2</v>
      </c>
      <c r="AG23" s="1">
        <v>-105.706</v>
      </c>
      <c r="AH23" s="1">
        <v>-0.88660070000000002</v>
      </c>
      <c r="AI23" s="1">
        <v>1.042362E-2</v>
      </c>
      <c r="AK23" s="1">
        <f t="shared" si="11"/>
        <v>-1.8449177391131262</v>
      </c>
      <c r="AL23" s="1">
        <f t="shared" si="12"/>
        <v>-1.5474101365486489E-2</v>
      </c>
      <c r="AM23" s="1">
        <f t="shared" si="13"/>
        <v>1.8192648897673132E-4</v>
      </c>
      <c r="AN23" s="1">
        <f t="shared" si="14"/>
        <v>-0.35907328350000001</v>
      </c>
      <c r="AO23" s="1">
        <f t="shared" si="15"/>
        <v>4.2215661E-3</v>
      </c>
      <c r="AP23" s="1">
        <f t="shared" si="16"/>
        <v>9.6976364293087085E-5</v>
      </c>
      <c r="AT23" s="1">
        <v>0.79988890000000001</v>
      </c>
      <c r="AU23" s="1">
        <v>0.5185071</v>
      </c>
      <c r="AV23" s="1">
        <v>-88.348089999999999</v>
      </c>
      <c r="AW23" s="1">
        <v>44.444800000000001</v>
      </c>
      <c r="AX23" s="1">
        <v>0.61874010000000002</v>
      </c>
      <c r="AZ23" s="1">
        <f t="shared" si="17"/>
        <v>-1.5419650583482769</v>
      </c>
      <c r="BA23" s="1">
        <f t="shared" si="18"/>
        <v>0.77570809539037577</v>
      </c>
      <c r="BB23" s="1">
        <f t="shared" si="19"/>
        <v>1.0799051959118967E-2</v>
      </c>
      <c r="BC23" s="1">
        <f t="shared" si="20"/>
        <v>18.000144000000002</v>
      </c>
      <c r="BD23" s="1">
        <f t="shared" si="21"/>
        <v>0.25058974050000005</v>
      </c>
      <c r="BE23" s="1">
        <f t="shared" si="22"/>
        <v>0.24369783494793656</v>
      </c>
    </row>
    <row r="24" spans="1:57" x14ac:dyDescent="0.3">
      <c r="A24" s="1">
        <v>0.69992220000000005</v>
      </c>
      <c r="B24" s="1">
        <v>0.1793216</v>
      </c>
      <c r="C24" s="1">
        <v>-97.144800000000004</v>
      </c>
      <c r="D24" s="1">
        <v>15.147600000000001</v>
      </c>
      <c r="E24" s="1">
        <v>265.90469999999999</v>
      </c>
      <c r="G24" s="1">
        <f t="shared" si="1"/>
        <v>-1.6954966111913876</v>
      </c>
      <c r="H24" s="1">
        <f t="shared" si="2"/>
        <v>0.26437549377509306</v>
      </c>
      <c r="I24" s="1">
        <f t="shared" si="3"/>
        <v>4.6409125115277652</v>
      </c>
      <c r="J24" s="1">
        <f t="shared" si="4"/>
        <v>0.1070720749789127</v>
      </c>
      <c r="K24" s="1">
        <f t="shared" si="0"/>
        <v>1.8795695671687451</v>
      </c>
      <c r="L24" s="1">
        <f t="shared" si="5"/>
        <v>2.830723269207383E-2</v>
      </c>
      <c r="O24"/>
      <c r="P24" s="1">
        <v>0.73323329999999998</v>
      </c>
      <c r="Q24" s="1">
        <v>0.49045450000000002</v>
      </c>
      <c r="R24" s="1">
        <v>-99.541870000000003</v>
      </c>
      <c r="S24" s="1">
        <v>-41.341239999999999</v>
      </c>
      <c r="T24" s="1">
        <v>240.3212</v>
      </c>
      <c r="U24"/>
      <c r="V24" s="1">
        <f t="shared" si="6"/>
        <v>-1.7373333750921678</v>
      </c>
      <c r="W24" s="1">
        <f t="shared" si="7"/>
        <v>-0.7215407548571805</v>
      </c>
      <c r="X24" s="1">
        <f t="shared" si="8"/>
        <v>4.1943962023437971</v>
      </c>
      <c r="Y24" s="1">
        <f t="shared" si="9"/>
        <v>-16.743202200000002</v>
      </c>
      <c r="Z24" s="1">
        <f t="shared" si="10"/>
        <v>97.330086000000009</v>
      </c>
      <c r="AA24" s="1">
        <f>(0.405*(H24^2))</f>
        <v>2.830723269207383E-2</v>
      </c>
      <c r="AE24" s="1">
        <v>0.69991110000000001</v>
      </c>
      <c r="AF24" s="1">
        <v>1.087495E-2</v>
      </c>
      <c r="AG24" s="1">
        <v>-105.7354</v>
      </c>
      <c r="AH24" s="1">
        <v>-0.8803455</v>
      </c>
      <c r="AI24" s="1">
        <v>1.050296E-2</v>
      </c>
      <c r="AK24" s="1">
        <f t="shared" si="11"/>
        <v>-1.8454308659132124</v>
      </c>
      <c r="AL24" s="1">
        <f t="shared" si="12"/>
        <v>-1.536492753011574E-2</v>
      </c>
      <c r="AM24" s="1">
        <f t="shared" si="13"/>
        <v>1.8331123320526363E-4</v>
      </c>
      <c r="AN24" s="1">
        <f t="shared" si="14"/>
        <v>-0.35653992750000002</v>
      </c>
      <c r="AO24" s="1">
        <f t="shared" si="15"/>
        <v>4.2536988000000005E-3</v>
      </c>
      <c r="AP24" s="1">
        <f t="shared" si="16"/>
        <v>9.5612804192311978E-5</v>
      </c>
      <c r="AT24" s="1">
        <v>0.83326670000000003</v>
      </c>
      <c r="AU24" s="1">
        <v>0.51867989999999997</v>
      </c>
      <c r="AV24" s="1">
        <v>-86.865269999999995</v>
      </c>
      <c r="AW24" s="1">
        <v>44.450519999999997</v>
      </c>
      <c r="AX24" s="1">
        <v>-1.162426</v>
      </c>
      <c r="AZ24" s="1">
        <f t="shared" si="17"/>
        <v>-1.5160849671338548</v>
      </c>
      <c r="BA24" s="1">
        <f t="shared" si="18"/>
        <v>0.77580792822358968</v>
      </c>
      <c r="BB24" s="1">
        <f t="shared" si="19"/>
        <v>-2.0288161010787602E-2</v>
      </c>
      <c r="BC24" s="1">
        <f t="shared" si="20"/>
        <v>18.002460599999999</v>
      </c>
      <c r="BD24" s="1">
        <f t="shared" si="21"/>
        <v>-0.47078253000000003</v>
      </c>
      <c r="BE24" s="1">
        <f t="shared" si="22"/>
        <v>0.24376056630530432</v>
      </c>
    </row>
    <row r="25" spans="1:57" x14ac:dyDescent="0.3">
      <c r="A25" s="1">
        <v>0.73323329999999998</v>
      </c>
      <c r="B25" s="1">
        <v>0.2512413</v>
      </c>
      <c r="C25" s="1">
        <v>-96.51558</v>
      </c>
      <c r="D25" s="1">
        <v>21.226019999999998</v>
      </c>
      <c r="E25" s="1">
        <v>156.2414</v>
      </c>
      <c r="G25" s="1">
        <f t="shared" si="1"/>
        <v>-1.6845146504719888</v>
      </c>
      <c r="H25" s="1">
        <f t="shared" si="2"/>
        <v>0.37046393609416672</v>
      </c>
      <c r="I25" s="1">
        <f t="shared" si="3"/>
        <v>2.7269268579254682</v>
      </c>
      <c r="J25" s="1">
        <f t="shared" si="4"/>
        <v>0.15003789411813753</v>
      </c>
      <c r="K25" s="1">
        <f t="shared" si="0"/>
        <v>1.1044053774598146</v>
      </c>
      <c r="L25" s="1">
        <f t="shared" si="5"/>
        <v>5.5583628818285054E-2</v>
      </c>
      <c r="O25"/>
      <c r="P25" s="1">
        <v>0.7665556</v>
      </c>
      <c r="Q25" s="1">
        <v>0.38870710000000003</v>
      </c>
      <c r="R25" s="1">
        <v>-100.7599</v>
      </c>
      <c r="S25" s="1">
        <v>-32.75385</v>
      </c>
      <c r="T25" s="1">
        <v>279.93549999999999</v>
      </c>
      <c r="U25"/>
      <c r="V25" s="1">
        <f t="shared" si="6"/>
        <v>-1.7585920089802345</v>
      </c>
      <c r="W25" s="1">
        <f t="shared" si="7"/>
        <v>-0.57166252520434468</v>
      </c>
      <c r="X25" s="1">
        <f t="shared" si="8"/>
        <v>4.8857961682165856</v>
      </c>
      <c r="Y25" s="1">
        <f t="shared" si="9"/>
        <v>-13.265309250000001</v>
      </c>
      <c r="Z25" s="1">
        <f t="shared" si="10"/>
        <v>113.37387750000001</v>
      </c>
      <c r="AA25" s="1">
        <f>(0.405*(H25^2))</f>
        <v>5.5583628818285054E-2</v>
      </c>
      <c r="AE25" s="1">
        <v>0.73327779999999998</v>
      </c>
      <c r="AF25" s="1">
        <v>1.0884019999999999E-2</v>
      </c>
      <c r="AG25" s="1">
        <v>-105.76479999999999</v>
      </c>
      <c r="AH25" s="1">
        <v>-0.88073129999999999</v>
      </c>
      <c r="AI25" s="1">
        <v>673.80290000000002</v>
      </c>
      <c r="AK25" s="1">
        <f t="shared" si="11"/>
        <v>-1.8459439927132983</v>
      </c>
      <c r="AL25" s="1">
        <f t="shared" si="12"/>
        <v>-1.5371661010369936E-2</v>
      </c>
      <c r="AM25" s="1">
        <f t="shared" si="13"/>
        <v>11.7600791144861</v>
      </c>
      <c r="AN25" s="1">
        <f t="shared" si="14"/>
        <v>-0.35669617650000002</v>
      </c>
      <c r="AO25" s="1">
        <f t="shared" si="15"/>
        <v>272.8901745</v>
      </c>
      <c r="AP25" s="1">
        <f t="shared" si="16"/>
        <v>9.5696624698179551E-5</v>
      </c>
      <c r="AT25" s="1">
        <v>0.86657779999999995</v>
      </c>
      <c r="AU25" s="1">
        <v>0.5188528</v>
      </c>
      <c r="AV25" s="1">
        <v>-85.383740000000003</v>
      </c>
      <c r="AW25" s="1">
        <v>44.396859999999997</v>
      </c>
      <c r="AX25" s="1">
        <v>-2.9364479999999999</v>
      </c>
      <c r="AZ25" s="1">
        <f t="shared" si="17"/>
        <v>-1.4902273906667833</v>
      </c>
      <c r="BA25" s="1">
        <f t="shared" si="18"/>
        <v>0.77487138454696958</v>
      </c>
      <c r="BB25" s="1">
        <f t="shared" si="19"/>
        <v>-5.1250685913602448E-2</v>
      </c>
      <c r="BC25" s="1">
        <f t="shared" si="20"/>
        <v>17.980728299999999</v>
      </c>
      <c r="BD25" s="1">
        <f t="shared" si="21"/>
        <v>-1.1892614400000001</v>
      </c>
      <c r="BE25" s="1">
        <f t="shared" si="22"/>
        <v>0.24317239334884375</v>
      </c>
    </row>
    <row r="26" spans="1:57" x14ac:dyDescent="0.3">
      <c r="A26" s="1">
        <v>0.76656670000000005</v>
      </c>
      <c r="B26" s="1">
        <v>0.30089450000000001</v>
      </c>
      <c r="C26" s="1">
        <v>-95.730199999999996</v>
      </c>
      <c r="D26" s="1">
        <v>25.43159</v>
      </c>
      <c r="E26" s="1">
        <v>116.1037</v>
      </c>
      <c r="G26" s="1">
        <f t="shared" si="1"/>
        <v>-1.6708071835926754</v>
      </c>
      <c r="H26" s="1">
        <f t="shared" si="2"/>
        <v>0.44386497951726472</v>
      </c>
      <c r="I26" s="1">
        <f t="shared" si="3"/>
        <v>2.0263918387477404</v>
      </c>
      <c r="J26" s="1">
        <f t="shared" si="4"/>
        <v>0.17976531670449222</v>
      </c>
      <c r="K26" s="1">
        <f t="shared" si="0"/>
        <v>0.8206886946928349</v>
      </c>
      <c r="L26" s="1">
        <f t="shared" si="5"/>
        <v>7.9791528616954044E-2</v>
      </c>
      <c r="O26"/>
      <c r="P26" s="1">
        <v>0.79988890000000001</v>
      </c>
      <c r="Q26" s="1">
        <v>0.27433689999999999</v>
      </c>
      <c r="R26" s="1">
        <v>-101.7251</v>
      </c>
      <c r="S26" s="1">
        <v>-23.118079999999999</v>
      </c>
      <c r="T26" s="1">
        <v>458.48489999999998</v>
      </c>
      <c r="U26"/>
      <c r="V26" s="1">
        <f t="shared" si="6"/>
        <v>-1.7754379269204836</v>
      </c>
      <c r="W26" s="1">
        <f t="shared" si="7"/>
        <v>-0.40348661273945069</v>
      </c>
      <c r="X26" s="1">
        <f t="shared" si="8"/>
        <v>8.00207107567695</v>
      </c>
      <c r="Y26" s="1">
        <f t="shared" si="9"/>
        <v>-9.3628224000000007</v>
      </c>
      <c r="Z26" s="1">
        <f t="shared" si="10"/>
        <v>185.6863845</v>
      </c>
      <c r="AA26" s="1">
        <f>(0.405*(H26^2))</f>
        <v>7.9791528616954044E-2</v>
      </c>
      <c r="AE26" s="1">
        <v>0.7665556</v>
      </c>
      <c r="AF26" s="1">
        <v>0.44308120000000001</v>
      </c>
      <c r="AG26" s="1">
        <v>-105.7941</v>
      </c>
      <c r="AH26" s="1">
        <v>38.443840000000002</v>
      </c>
      <c r="AI26" s="1">
        <v>1091.375</v>
      </c>
      <c r="AK26" s="1">
        <f t="shared" si="11"/>
        <v>-1.846455374184133</v>
      </c>
      <c r="AL26" s="1">
        <f t="shared" si="12"/>
        <v>0.67097158510989685</v>
      </c>
      <c r="AM26" s="1">
        <f t="shared" si="13"/>
        <v>19.048087123953113</v>
      </c>
      <c r="AN26" s="1">
        <f t="shared" si="14"/>
        <v>15.569755200000001</v>
      </c>
      <c r="AO26" s="1">
        <f t="shared" si="15"/>
        <v>442.00687500000004</v>
      </c>
      <c r="AP26" s="1">
        <f t="shared" si="16"/>
        <v>0.18233216155007947</v>
      </c>
      <c r="AT26" s="1">
        <v>0.89993330000000005</v>
      </c>
      <c r="AU26" s="1">
        <v>0.51911240000000003</v>
      </c>
      <c r="AV26" s="1">
        <v>-83.905479999999997</v>
      </c>
      <c r="AW26" s="1">
        <v>44.291699999999999</v>
      </c>
      <c r="AX26" s="1">
        <v>-4.6900760000000004</v>
      </c>
      <c r="AZ26" s="1">
        <f t="shared" si="17"/>
        <v>-1.4644268864662517</v>
      </c>
      <c r="BA26" s="1">
        <f t="shared" si="18"/>
        <v>0.77303599630557229</v>
      </c>
      <c r="BB26" s="1">
        <f t="shared" si="19"/>
        <v>-8.1857268368765571E-2</v>
      </c>
      <c r="BC26" s="1">
        <f t="shared" si="20"/>
        <v>17.938138500000001</v>
      </c>
      <c r="BD26" s="1">
        <f t="shared" si="21"/>
        <v>-1.8994807800000002</v>
      </c>
      <c r="BE26" s="1">
        <f t="shared" si="22"/>
        <v>0.24202178389158027</v>
      </c>
    </row>
    <row r="27" spans="1:57" x14ac:dyDescent="0.3">
      <c r="A27" s="1">
        <v>0.79988890000000001</v>
      </c>
      <c r="B27" s="1">
        <v>0.34232420000000002</v>
      </c>
      <c r="C27" s="1">
        <v>-94.820430000000002</v>
      </c>
      <c r="D27" s="1">
        <v>28.929749999999999</v>
      </c>
      <c r="E27" s="1">
        <v>75.834220000000002</v>
      </c>
      <c r="G27" s="1">
        <f t="shared" si="1"/>
        <v>-1.6549287016568068</v>
      </c>
      <c r="H27" s="1">
        <f t="shared" si="2"/>
        <v>0.50491938927882951</v>
      </c>
      <c r="I27" s="1">
        <f t="shared" si="3"/>
        <v>1.3235568246817344</v>
      </c>
      <c r="J27" s="1">
        <f t="shared" si="4"/>
        <v>0.20449235265792595</v>
      </c>
      <c r="K27" s="1">
        <f t="shared" si="0"/>
        <v>0.53604051399610242</v>
      </c>
      <c r="L27" s="1">
        <f t="shared" si="5"/>
        <v>0.103252153816231</v>
      </c>
      <c r="O27"/>
      <c r="P27" s="1">
        <v>0.83321109999999998</v>
      </c>
      <c r="Q27" s="1">
        <v>3.7220209999999997E-2</v>
      </c>
      <c r="R27" s="1">
        <v>-102.3008</v>
      </c>
      <c r="S27" s="1">
        <v>-3.0917849999999998</v>
      </c>
      <c r="T27" s="1">
        <v>353.46620000000001</v>
      </c>
      <c r="U27"/>
      <c r="V27" s="1">
        <f t="shared" si="6"/>
        <v>-1.7854857874242152</v>
      </c>
      <c r="W27" s="1">
        <f t="shared" si="7"/>
        <v>-5.3961828013772875E-2</v>
      </c>
      <c r="X27" s="1">
        <f t="shared" si="8"/>
        <v>6.1691489845127814</v>
      </c>
      <c r="Y27" s="1">
        <f t="shared" si="9"/>
        <v>-1.252172925</v>
      </c>
      <c r="Z27" s="1">
        <f t="shared" si="10"/>
        <v>143.15381100000002</v>
      </c>
      <c r="AA27" s="1">
        <f>(0.405*(H27^2))</f>
        <v>0.103252153816231</v>
      </c>
      <c r="AE27" s="1">
        <v>0.79992220000000003</v>
      </c>
      <c r="AF27" s="1">
        <v>0.94940519999999995</v>
      </c>
      <c r="AG27" s="1">
        <v>-103.20269999999999</v>
      </c>
      <c r="AH27" s="1">
        <v>82.417540000000002</v>
      </c>
      <c r="AI27" s="1">
        <v>858.97360000000003</v>
      </c>
      <c r="AK27" s="1">
        <f t="shared" si="11"/>
        <v>-1.8012269119479518</v>
      </c>
      <c r="AL27" s="1">
        <f t="shared" si="12"/>
        <v>1.4384574343941274</v>
      </c>
      <c r="AM27" s="1">
        <f t="shared" si="13"/>
        <v>14.991917507708765</v>
      </c>
      <c r="AN27" s="1">
        <f t="shared" si="14"/>
        <v>33.379103700000002</v>
      </c>
      <c r="AO27" s="1">
        <f t="shared" si="15"/>
        <v>347.88430800000003</v>
      </c>
      <c r="AP27" s="1">
        <f t="shared" si="16"/>
        <v>0.83800971517831291</v>
      </c>
      <c r="AT27" s="1">
        <v>0.93321109999999996</v>
      </c>
      <c r="AU27" s="1">
        <v>0.51937219999999995</v>
      </c>
      <c r="AV27" s="1">
        <v>-82.432429999999997</v>
      </c>
      <c r="AW27" s="1">
        <v>44.128540000000001</v>
      </c>
      <c r="AX27" s="1">
        <v>-6.384061</v>
      </c>
      <c r="AZ27" s="1">
        <f t="shared" si="17"/>
        <v>-1.4387173139197491</v>
      </c>
      <c r="BA27" s="1">
        <f t="shared" si="18"/>
        <v>0.77018831709801849</v>
      </c>
      <c r="BB27" s="1">
        <f t="shared" si="19"/>
        <v>-0.1114228840981617</v>
      </c>
      <c r="BC27" s="1">
        <f t="shared" si="20"/>
        <v>17.8720587</v>
      </c>
      <c r="BD27" s="1">
        <f t="shared" si="21"/>
        <v>-2.5855447050000002</v>
      </c>
      <c r="BE27" s="1">
        <f t="shared" si="22"/>
        <v>0.24024196773668255</v>
      </c>
    </row>
    <row r="28" spans="1:57" x14ac:dyDescent="0.3">
      <c r="A28" s="1">
        <v>0.83321109999999998</v>
      </c>
      <c r="B28" s="1">
        <v>0.36281679999999999</v>
      </c>
      <c r="C28" s="1">
        <v>-93.802189999999996</v>
      </c>
      <c r="D28" s="1">
        <v>30.66807</v>
      </c>
      <c r="E28" s="1">
        <v>84.238810000000001</v>
      </c>
      <c r="G28" s="1">
        <f t="shared" si="1"/>
        <v>-1.6371570610812998</v>
      </c>
      <c r="H28" s="1">
        <f t="shared" si="2"/>
        <v>0.53525879673209742</v>
      </c>
      <c r="I28" s="1">
        <f t="shared" si="3"/>
        <v>1.4702445924619243</v>
      </c>
      <c r="J28" s="1">
        <f t="shared" si="4"/>
        <v>0.21677981267649946</v>
      </c>
      <c r="K28" s="1">
        <f t="shared" si="0"/>
        <v>0.59544905994707942</v>
      </c>
      <c r="L28" s="1">
        <f t="shared" si="5"/>
        <v>0.11603330168903259</v>
      </c>
      <c r="O28"/>
      <c r="P28" s="1">
        <v>0.86654439999999999</v>
      </c>
      <c r="Q28" s="1">
        <v>5.4448070000000001E-2</v>
      </c>
      <c r="R28" s="1">
        <v>-101.9312</v>
      </c>
      <c r="S28" s="1">
        <v>4.5889230000000003</v>
      </c>
      <c r="T28" s="1">
        <v>87.554249999999996</v>
      </c>
      <c r="U28"/>
      <c r="V28" s="1">
        <f t="shared" si="6"/>
        <v>-1.7790350505088441</v>
      </c>
      <c r="W28" s="1">
        <f t="shared" si="7"/>
        <v>8.009181547049575E-2</v>
      </c>
      <c r="X28" s="1">
        <f t="shared" si="8"/>
        <v>1.5281099366142452</v>
      </c>
      <c r="Y28" s="1">
        <f t="shared" si="9"/>
        <v>1.8585138150000002</v>
      </c>
      <c r="Z28" s="1">
        <f t="shared" si="10"/>
        <v>35.45947125</v>
      </c>
      <c r="AA28" s="1">
        <f>(0.405*(H28^2))</f>
        <v>0.11603330168903259</v>
      </c>
      <c r="AE28" s="1">
        <v>0.83322220000000002</v>
      </c>
      <c r="AF28" s="1">
        <v>1.046225</v>
      </c>
      <c r="AG28" s="1">
        <v>-100.2996</v>
      </c>
      <c r="AH28" s="1">
        <v>90.885930000000002</v>
      </c>
      <c r="AI28" s="1">
        <v>137.68510000000001</v>
      </c>
      <c r="AK28" s="1">
        <f t="shared" si="11"/>
        <v>-1.7505582584333044</v>
      </c>
      <c r="AL28" s="1">
        <f t="shared" si="12"/>
        <v>1.5862587222370899</v>
      </c>
      <c r="AM28" s="1">
        <f t="shared" si="13"/>
        <v>2.4030583259376446</v>
      </c>
      <c r="AN28" s="1">
        <f t="shared" si="14"/>
        <v>36.808801650000007</v>
      </c>
      <c r="AO28" s="1">
        <f t="shared" si="15"/>
        <v>55.762465500000005</v>
      </c>
      <c r="AP28" s="1">
        <f t="shared" si="16"/>
        <v>1.0190677772186643</v>
      </c>
      <c r="AT28" s="1">
        <v>0.96653330000000004</v>
      </c>
      <c r="AU28" s="1">
        <v>0.51747290000000001</v>
      </c>
      <c r="AV28" s="1">
        <v>-80.966520000000003</v>
      </c>
      <c r="AW28" s="1">
        <v>43.726300000000002</v>
      </c>
      <c r="AX28" s="1">
        <v>-8.068702</v>
      </c>
      <c r="AZ28" s="1">
        <f t="shared" si="17"/>
        <v>-1.4131323578818393</v>
      </c>
      <c r="BA28" s="1">
        <f t="shared" si="18"/>
        <v>0.76316790471479656</v>
      </c>
      <c r="BB28" s="1">
        <f t="shared" si="19"/>
        <v>-0.14082541626225151</v>
      </c>
      <c r="BC28" s="1">
        <f t="shared" si="20"/>
        <v>17.709151500000001</v>
      </c>
      <c r="BD28" s="1">
        <f t="shared" si="21"/>
        <v>-3.2678243100000004</v>
      </c>
      <c r="BE28" s="1">
        <f t="shared" si="22"/>
        <v>0.23588222656864299</v>
      </c>
    </row>
    <row r="29" spans="1:57" x14ac:dyDescent="0.3">
      <c r="A29" s="1">
        <v>0.86654439999999999</v>
      </c>
      <c r="B29" s="1">
        <v>0.40095769999999997</v>
      </c>
      <c r="C29" s="1">
        <v>-92.776229999999998</v>
      </c>
      <c r="D29" s="1">
        <v>33.895240000000001</v>
      </c>
      <c r="E29" s="1">
        <v>64.096289999999996</v>
      </c>
      <c r="G29" s="1">
        <f t="shared" si="1"/>
        <v>-1.6192506810875387</v>
      </c>
      <c r="H29" s="1">
        <f t="shared" si="2"/>
        <v>0.59158353875368286</v>
      </c>
      <c r="I29" s="1">
        <f t="shared" si="3"/>
        <v>1.1186912988131161</v>
      </c>
      <c r="J29" s="1">
        <f t="shared" si="4"/>
        <v>0.23959133319524156</v>
      </c>
      <c r="K29" s="1">
        <f t="shared" si="0"/>
        <v>0.45306997601931204</v>
      </c>
      <c r="L29" s="1">
        <f t="shared" si="5"/>
        <v>0.14173828874635375</v>
      </c>
      <c r="O29"/>
      <c r="P29" s="1">
        <v>0.89986670000000002</v>
      </c>
      <c r="Q29" s="1">
        <v>1.6129000000000001E-2</v>
      </c>
      <c r="R29" s="1">
        <v>-101.995</v>
      </c>
      <c r="S29" s="1">
        <v>-1.2365269999999999</v>
      </c>
      <c r="T29" s="1">
        <v>-84.184889999999996</v>
      </c>
      <c r="U29"/>
      <c r="V29" s="1">
        <f t="shared" si="6"/>
        <v>-1.7801485705716165</v>
      </c>
      <c r="W29" s="1">
        <f t="shared" si="7"/>
        <v>-2.1581467439807919E-2</v>
      </c>
      <c r="X29" s="1">
        <f t="shared" si="8"/>
        <v>-1.4693035109292489</v>
      </c>
      <c r="Y29" s="1">
        <f t="shared" si="9"/>
        <v>-0.50079343499999995</v>
      </c>
      <c r="Z29" s="1">
        <f t="shared" si="10"/>
        <v>-34.094880449999998</v>
      </c>
      <c r="AA29" s="1">
        <f>(0.405*(H29^2))</f>
        <v>0.14173828874635375</v>
      </c>
      <c r="AE29" s="1">
        <v>0.86654439999999999</v>
      </c>
      <c r="AF29" s="1">
        <v>1.062046</v>
      </c>
      <c r="AG29" s="1">
        <v>-97.147660000000002</v>
      </c>
      <c r="AH29" s="1">
        <v>92.329509999999999</v>
      </c>
      <c r="AI29" s="1">
        <v>136.6035</v>
      </c>
      <c r="AK29" s="1">
        <f t="shared" si="11"/>
        <v>-1.6955465276079944</v>
      </c>
      <c r="AL29" s="1">
        <f t="shared" si="12"/>
        <v>1.6114539462530297</v>
      </c>
      <c r="AM29" s="1">
        <f t="shared" si="13"/>
        <v>2.3841808447480739</v>
      </c>
      <c r="AN29" s="1">
        <f t="shared" si="14"/>
        <v>37.393451550000002</v>
      </c>
      <c r="AO29" s="1">
        <f t="shared" si="15"/>
        <v>55.324417500000003</v>
      </c>
      <c r="AP29" s="1">
        <f t="shared" si="16"/>
        <v>1.0516974474622574</v>
      </c>
      <c r="AT29" s="1">
        <v>1.0000560000000001</v>
      </c>
      <c r="AU29" s="1">
        <v>0.5188528</v>
      </c>
      <c r="AV29" s="1">
        <v>-79.509569999999997</v>
      </c>
      <c r="AW29" s="1">
        <v>43.546889999999998</v>
      </c>
      <c r="AX29" s="1">
        <v>-9.6632870000000004</v>
      </c>
      <c r="AZ29" s="1">
        <f t="shared" si="17"/>
        <v>-1.3877037833449077</v>
      </c>
      <c r="BA29" s="1">
        <f t="shared" si="18"/>
        <v>0.76003660950379348</v>
      </c>
      <c r="BB29" s="1">
        <f t="shared" si="19"/>
        <v>-0.16865617471516528</v>
      </c>
      <c r="BC29" s="1">
        <f t="shared" si="20"/>
        <v>17.63649045</v>
      </c>
      <c r="BD29" s="1">
        <f t="shared" si="21"/>
        <v>-3.9136312350000004</v>
      </c>
      <c r="BE29" s="1">
        <f t="shared" si="22"/>
        <v>0.23395053735333887</v>
      </c>
    </row>
    <row r="30" spans="1:57" x14ac:dyDescent="0.3">
      <c r="A30" s="1">
        <v>0.89986670000000002</v>
      </c>
      <c r="B30" s="1">
        <v>0.42540460000000002</v>
      </c>
      <c r="C30" s="1">
        <v>-91.54289</v>
      </c>
      <c r="D30" s="1">
        <v>35.961959999999998</v>
      </c>
      <c r="E30" s="1">
        <v>34.834879999999998</v>
      </c>
      <c r="G30" s="1">
        <f t="shared" si="1"/>
        <v>-1.5977248372909918</v>
      </c>
      <c r="H30" s="1">
        <f t="shared" si="2"/>
        <v>0.62765460747049995</v>
      </c>
      <c r="I30" s="1">
        <f t="shared" si="3"/>
        <v>0.60798335053712227</v>
      </c>
      <c r="J30" s="1">
        <f t="shared" si="4"/>
        <v>0.25420011602555248</v>
      </c>
      <c r="K30" s="1">
        <f t="shared" si="0"/>
        <v>0.24623325696753454</v>
      </c>
      <c r="L30" s="1">
        <f t="shared" si="5"/>
        <v>0.15954987404297372</v>
      </c>
      <c r="O30"/>
      <c r="P30" s="1">
        <v>0.93320000000000003</v>
      </c>
      <c r="Q30" s="1">
        <v>1.4181930000000001E-3</v>
      </c>
      <c r="R30" s="1">
        <v>-102.0136</v>
      </c>
      <c r="S30" s="1">
        <v>1.7452849999999999E-2</v>
      </c>
      <c r="T30" s="1">
        <v>16.30986</v>
      </c>
      <c r="U30"/>
      <c r="V30" s="1">
        <f t="shared" si="6"/>
        <v>-1.7804732018124874</v>
      </c>
      <c r="W30" s="1">
        <f t="shared" si="7"/>
        <v>3.0460969635669232E-4</v>
      </c>
      <c r="X30" s="1">
        <f t="shared" si="8"/>
        <v>0.28466075753932235</v>
      </c>
      <c r="Y30" s="1">
        <f t="shared" si="9"/>
        <v>7.0684042500000002E-3</v>
      </c>
      <c r="Z30" s="1">
        <f t="shared" si="10"/>
        <v>6.6054933000000009</v>
      </c>
      <c r="AA30" s="1">
        <f>(0.405*(H30^2))</f>
        <v>0.15954987404297372</v>
      </c>
      <c r="AE30" s="1">
        <v>0.89987779999999995</v>
      </c>
      <c r="AF30" s="1">
        <v>1.123119</v>
      </c>
      <c r="AG30" s="1">
        <v>-94.145319999999998</v>
      </c>
      <c r="AH30" s="1">
        <v>97.681629999999998</v>
      </c>
      <c r="AI30" s="1">
        <v>149.27549999999999</v>
      </c>
      <c r="AK30" s="1">
        <f t="shared" si="11"/>
        <v>-1.6431458093436677</v>
      </c>
      <c r="AL30" s="1">
        <f t="shared" si="12"/>
        <v>1.7048660622148686</v>
      </c>
      <c r="AM30" s="1">
        <f t="shared" si="13"/>
        <v>2.6053489675607953</v>
      </c>
      <c r="AN30" s="1">
        <f t="shared" si="14"/>
        <v>39.561060150000003</v>
      </c>
      <c r="AO30" s="1">
        <f t="shared" si="15"/>
        <v>60.456577500000002</v>
      </c>
      <c r="AP30" s="1">
        <f t="shared" si="16"/>
        <v>1.1771601574872732</v>
      </c>
      <c r="AT30" s="1">
        <v>1.0331999999999999</v>
      </c>
      <c r="AU30" s="1">
        <v>0.52032710000000004</v>
      </c>
      <c r="AV30" s="1">
        <v>-78.063389999999998</v>
      </c>
      <c r="AW30" s="1">
        <v>43.321359999999999</v>
      </c>
      <c r="AX30" s="1">
        <v>-11.194000000000001</v>
      </c>
      <c r="AZ30" s="1">
        <f t="shared" si="17"/>
        <v>-1.3624631807684162</v>
      </c>
      <c r="BA30" s="1">
        <f t="shared" si="18"/>
        <v>0.75610036844177064</v>
      </c>
      <c r="BB30" s="1">
        <f t="shared" si="19"/>
        <v>-0.19537215646824527</v>
      </c>
      <c r="BC30" s="1">
        <f t="shared" si="20"/>
        <v>17.545150800000002</v>
      </c>
      <c r="BD30" s="1">
        <f t="shared" si="21"/>
        <v>-4.533570000000001</v>
      </c>
      <c r="BE30" s="1">
        <f t="shared" si="22"/>
        <v>0.23153354569890147</v>
      </c>
    </row>
    <row r="31" spans="1:57" x14ac:dyDescent="0.3">
      <c r="A31" s="1">
        <v>0.93320000000000003</v>
      </c>
      <c r="B31" s="1">
        <v>0.41872910000000002</v>
      </c>
      <c r="C31" s="1">
        <v>-90.379159999999999</v>
      </c>
      <c r="D31" s="1">
        <v>35.399169999999998</v>
      </c>
      <c r="E31" s="1">
        <v>-17.21724</v>
      </c>
      <c r="G31" s="1">
        <f t="shared" si="1"/>
        <v>-1.5774139171867583</v>
      </c>
      <c r="H31" s="1">
        <f t="shared" si="2"/>
        <v>0.61783206897320109</v>
      </c>
      <c r="I31" s="1">
        <f t="shared" si="3"/>
        <v>-0.3004975261060685</v>
      </c>
      <c r="J31" s="1">
        <f t="shared" si="4"/>
        <v>0.25022198793414646</v>
      </c>
      <c r="K31" s="1">
        <f t="shared" si="0"/>
        <v>-0.12170149807295776</v>
      </c>
      <c r="L31" s="1">
        <f t="shared" si="5"/>
        <v>0.15459516850794106</v>
      </c>
      <c r="O31"/>
      <c r="P31" s="1">
        <v>0.9665222</v>
      </c>
      <c r="Q31" s="1">
        <v>6.8188809999999999E-4</v>
      </c>
      <c r="R31" s="1">
        <v>-101.99379999999999</v>
      </c>
      <c r="S31" s="1">
        <v>3.216376E-3</v>
      </c>
      <c r="T31" s="1">
        <v>342.3972</v>
      </c>
      <c r="U31"/>
      <c r="V31" s="1">
        <f t="shared" si="6"/>
        <v>-1.7801276266205923</v>
      </c>
      <c r="W31" s="1">
        <f t="shared" si="7"/>
        <v>5.6136351182125141E-5</v>
      </c>
      <c r="X31" s="1">
        <f t="shared" si="8"/>
        <v>5.9759584896095284</v>
      </c>
      <c r="Y31" s="1">
        <f t="shared" si="9"/>
        <v>1.3026322800000001E-3</v>
      </c>
      <c r="Z31" s="1">
        <f t="shared" si="10"/>
        <v>138.67086600000002</v>
      </c>
      <c r="AA31" s="1">
        <f>(0.405*(H31^2))</f>
        <v>0.15459516850794106</v>
      </c>
      <c r="AE31" s="1">
        <v>0.93320000000000003</v>
      </c>
      <c r="AF31" s="1">
        <v>1.204496</v>
      </c>
      <c r="AG31" s="1">
        <v>-90.63664</v>
      </c>
      <c r="AH31" s="1">
        <v>104.8339</v>
      </c>
      <c r="AI31" s="1">
        <v>50.464060000000003</v>
      </c>
      <c r="AK31" s="1">
        <f t="shared" si="11"/>
        <v>-1.5819077909447932</v>
      </c>
      <c r="AL31" s="1">
        <f t="shared" si="12"/>
        <v>1.8296967227064833</v>
      </c>
      <c r="AM31" s="1">
        <f t="shared" si="13"/>
        <v>0.88076400092396967</v>
      </c>
      <c r="AN31" s="1">
        <f t="shared" si="14"/>
        <v>42.457729499999999</v>
      </c>
      <c r="AO31" s="1">
        <f t="shared" si="15"/>
        <v>20.437944300000002</v>
      </c>
      <c r="AP31" s="1">
        <f t="shared" si="16"/>
        <v>1.3558549893185525</v>
      </c>
      <c r="AT31" s="1">
        <v>1.066533</v>
      </c>
      <c r="AU31" s="1">
        <v>0.51902579999999998</v>
      </c>
      <c r="AV31" s="1">
        <v>-76.629670000000004</v>
      </c>
      <c r="AW31" s="1">
        <v>42.814950000000003</v>
      </c>
      <c r="AX31" s="1">
        <v>-12.674950000000001</v>
      </c>
      <c r="AZ31" s="1">
        <f t="shared" si="17"/>
        <v>-1.3374400462167233</v>
      </c>
      <c r="BA31" s="1">
        <f t="shared" si="18"/>
        <v>0.74726184657674621</v>
      </c>
      <c r="BB31" s="1">
        <f t="shared" si="19"/>
        <v>-0.22121961002565527</v>
      </c>
      <c r="BC31" s="1">
        <f t="shared" si="20"/>
        <v>17.340054750000004</v>
      </c>
      <c r="BD31" s="1">
        <f t="shared" si="21"/>
        <v>-5.1333547500000005</v>
      </c>
      <c r="BE31" s="1">
        <f t="shared" si="22"/>
        <v>0.2261521082764619</v>
      </c>
    </row>
    <row r="32" spans="1:57" x14ac:dyDescent="0.3">
      <c r="A32" s="1">
        <v>0.96653330000000004</v>
      </c>
      <c r="B32" s="1">
        <v>0.41643479999999999</v>
      </c>
      <c r="C32" s="1">
        <v>-89.182940000000002</v>
      </c>
      <c r="D32" s="1">
        <v>35.201549999999997</v>
      </c>
      <c r="E32" s="1">
        <v>-32.928330000000003</v>
      </c>
      <c r="G32" s="1">
        <f t="shared" si="1"/>
        <v>-1.5565359396085519</v>
      </c>
      <c r="H32" s="1">
        <f t="shared" si="2"/>
        <v>0.61438294930540982</v>
      </c>
      <c r="I32" s="1">
        <f t="shared" si="3"/>
        <v>-0.5747077756832244</v>
      </c>
      <c r="J32" s="1">
        <f t="shared" si="4"/>
        <v>0.248825094468691</v>
      </c>
      <c r="K32" s="1">
        <f t="shared" si="0"/>
        <v>-0.23275664915170591</v>
      </c>
      <c r="L32" s="1">
        <f t="shared" si="5"/>
        <v>0.1528738954008716</v>
      </c>
      <c r="O32"/>
      <c r="P32" s="1">
        <v>0.99985559999999996</v>
      </c>
      <c r="Q32" s="1">
        <v>0.23365830000000001</v>
      </c>
      <c r="R32" s="1">
        <v>-102.0134</v>
      </c>
      <c r="S32" s="1">
        <v>19.69173</v>
      </c>
      <c r="T32" s="1">
        <v>672.00549999999998</v>
      </c>
      <c r="U32"/>
      <c r="V32" s="1">
        <f t="shared" si="6"/>
        <v>-1.7804697111539836</v>
      </c>
      <c r="W32" s="1">
        <f t="shared" si="7"/>
        <v>0.34368552391374296</v>
      </c>
      <c r="X32" s="1">
        <f t="shared" si="8"/>
        <v>11.728708566510754</v>
      </c>
      <c r="Y32" s="1">
        <f t="shared" si="9"/>
        <v>7.9751506500000007</v>
      </c>
      <c r="Z32" s="1">
        <f t="shared" si="10"/>
        <v>272.16222750000003</v>
      </c>
      <c r="AA32" s="1">
        <f>(0.405*(H32^2))</f>
        <v>0.1528738954008716</v>
      </c>
      <c r="AE32" s="1">
        <v>0.96653330000000004</v>
      </c>
      <c r="AF32" s="1">
        <v>1.15242</v>
      </c>
      <c r="AG32" s="1">
        <v>-87.157560000000004</v>
      </c>
      <c r="AH32" s="1">
        <v>100.3704</v>
      </c>
      <c r="AI32" s="1">
        <v>1.5550980000000001</v>
      </c>
      <c r="AK32" s="1">
        <f t="shared" si="11"/>
        <v>-1.5211863900045091</v>
      </c>
      <c r="AL32" s="1">
        <f t="shared" si="12"/>
        <v>1.7517939515437164</v>
      </c>
      <c r="AM32" s="1">
        <f t="shared" si="13"/>
        <v>2.7141580291178781E-2</v>
      </c>
      <c r="AN32" s="1">
        <f t="shared" si="14"/>
        <v>40.650012000000004</v>
      </c>
      <c r="AO32" s="1">
        <f t="shared" si="15"/>
        <v>0.62981469000000012</v>
      </c>
      <c r="AP32" s="1">
        <f t="shared" si="16"/>
        <v>1.2428567297093853</v>
      </c>
      <c r="AT32" s="1">
        <v>1.099844</v>
      </c>
      <c r="AU32" s="1">
        <v>0.51893929999999999</v>
      </c>
      <c r="AV32" s="1">
        <v>-75.210009999999997</v>
      </c>
      <c r="AW32" s="1">
        <v>42.363</v>
      </c>
      <c r="AX32" s="1">
        <v>429.84949999999998</v>
      </c>
      <c r="AZ32" s="1">
        <f t="shared" si="17"/>
        <v>-1.3126623049578603</v>
      </c>
      <c r="BA32" s="1">
        <f t="shared" si="18"/>
        <v>0.73937383102235776</v>
      </c>
      <c r="BB32" s="1">
        <f t="shared" si="19"/>
        <v>7.5022890630513652</v>
      </c>
      <c r="BC32" s="1">
        <f t="shared" si="20"/>
        <v>17.157015000000001</v>
      </c>
      <c r="BD32" s="1">
        <f t="shared" si="21"/>
        <v>174.08904749999999</v>
      </c>
      <c r="BE32" s="1">
        <f t="shared" si="22"/>
        <v>0.22140283311027462</v>
      </c>
    </row>
    <row r="33" spans="1:57" x14ac:dyDescent="0.3">
      <c r="A33" s="1">
        <v>0.99985559999999996</v>
      </c>
      <c r="B33" s="1">
        <v>0.39194420000000002</v>
      </c>
      <c r="C33" s="1">
        <v>-88.032780000000002</v>
      </c>
      <c r="D33" s="1">
        <v>33.132890000000003</v>
      </c>
      <c r="E33" s="1">
        <v>-72.462540000000004</v>
      </c>
      <c r="G33" s="1">
        <f t="shared" si="1"/>
        <v>-1.5364618606838136</v>
      </c>
      <c r="H33" s="1">
        <f t="shared" si="2"/>
        <v>0.57827802120110405</v>
      </c>
      <c r="I33" s="1">
        <f t="shared" si="3"/>
        <v>-1.2647099073580921</v>
      </c>
      <c r="J33" s="1">
        <f t="shared" si="4"/>
        <v>0.23420259858644715</v>
      </c>
      <c r="K33" s="1">
        <f t="shared" si="0"/>
        <v>-0.51220751248002727</v>
      </c>
      <c r="L33" s="1">
        <f t="shared" si="5"/>
        <v>0.13543421527072716</v>
      </c>
      <c r="O33"/>
      <c r="P33" s="1">
        <v>1.0331889999999999</v>
      </c>
      <c r="Q33" s="1">
        <v>0.58847769999999999</v>
      </c>
      <c r="R33" s="1">
        <v>-100.681</v>
      </c>
      <c r="S33" s="1">
        <v>49.338520000000003</v>
      </c>
      <c r="T33" s="1">
        <v>577.327</v>
      </c>
      <c r="U33"/>
      <c r="V33" s="1">
        <f t="shared" si="6"/>
        <v>-1.7572149442004108</v>
      </c>
      <c r="W33" s="1">
        <f t="shared" si="7"/>
        <v>0.86111962206107273</v>
      </c>
      <c r="X33" s="1">
        <f t="shared" si="8"/>
        <v>10.076257010661303</v>
      </c>
      <c r="Y33" s="1">
        <f t="shared" si="9"/>
        <v>19.982100600000003</v>
      </c>
      <c r="Z33" s="1">
        <f t="shared" si="10"/>
        <v>233.81743500000002</v>
      </c>
      <c r="AA33" s="1">
        <f>(0.405*(H33^2))</f>
        <v>0.13543421527072716</v>
      </c>
      <c r="AE33" s="1">
        <v>0.99987780000000004</v>
      </c>
      <c r="AF33" s="1">
        <v>1.182536</v>
      </c>
      <c r="AG33" s="1">
        <v>-83.94417</v>
      </c>
      <c r="AH33" s="1">
        <v>102.8973</v>
      </c>
      <c r="AI33" s="1">
        <v>-148.55289999999999</v>
      </c>
      <c r="AK33" s="1">
        <f t="shared" si="11"/>
        <v>-1.4651021543538485</v>
      </c>
      <c r="AL33" s="1">
        <f t="shared" si="12"/>
        <v>1.7958966764123612</v>
      </c>
      <c r="AM33" s="1">
        <f t="shared" si="13"/>
        <v>-2.5927372183858841</v>
      </c>
      <c r="AN33" s="1">
        <f t="shared" si="14"/>
        <v>41.673406500000006</v>
      </c>
      <c r="AO33" s="1">
        <f t="shared" si="15"/>
        <v>-60.1639245</v>
      </c>
      <c r="AP33" s="1">
        <f t="shared" si="16"/>
        <v>1.3062241733013309</v>
      </c>
      <c r="AT33" s="1">
        <v>1.133189</v>
      </c>
      <c r="AU33" s="1">
        <v>0.81619489999999995</v>
      </c>
      <c r="AV33" s="1">
        <v>-73.805940000000007</v>
      </c>
      <c r="AW33" s="1">
        <v>67.757140000000007</v>
      </c>
      <c r="AX33" s="1">
        <v>683.005</v>
      </c>
      <c r="AZ33" s="1">
        <f t="shared" si="17"/>
        <v>-1.2881566605293837</v>
      </c>
      <c r="BA33" s="1">
        <f t="shared" si="18"/>
        <v>1.1825851847347508</v>
      </c>
      <c r="BB33" s="1">
        <f t="shared" si="19"/>
        <v>11.92068605758387</v>
      </c>
      <c r="BC33" s="1">
        <f t="shared" si="20"/>
        <v>27.441641700000005</v>
      </c>
      <c r="BD33" s="1">
        <f t="shared" si="21"/>
        <v>276.61702500000001</v>
      </c>
      <c r="BE33" s="1">
        <f t="shared" si="22"/>
        <v>0.56639562625742057</v>
      </c>
    </row>
    <row r="34" spans="1:57" x14ac:dyDescent="0.3">
      <c r="A34" s="1">
        <v>1.0331999999999999</v>
      </c>
      <c r="B34" s="1">
        <v>0.35837590000000002</v>
      </c>
      <c r="C34" s="1">
        <v>-86.974080000000001</v>
      </c>
      <c r="D34" s="1">
        <v>30.28923</v>
      </c>
      <c r="E34" s="1">
        <v>-84.766400000000004</v>
      </c>
      <c r="G34" s="1">
        <f t="shared" si="1"/>
        <v>-1.5179840598929499</v>
      </c>
      <c r="H34" s="1">
        <f t="shared" si="2"/>
        <v>0.52864679139384207</v>
      </c>
      <c r="I34" s="1">
        <f t="shared" si="3"/>
        <v>-1.4794527750625213</v>
      </c>
      <c r="J34" s="1">
        <f t="shared" si="4"/>
        <v>0.21410195051450606</v>
      </c>
      <c r="K34" s="1">
        <f t="shared" si="0"/>
        <v>-0.59917837390032114</v>
      </c>
      <c r="L34" s="1">
        <f t="shared" si="5"/>
        <v>0.11318430917065678</v>
      </c>
      <c r="O34"/>
      <c r="P34" s="1">
        <v>1.066511</v>
      </c>
      <c r="Q34" s="1">
        <v>0.69056899999999999</v>
      </c>
      <c r="R34" s="1">
        <v>-98.724699999999999</v>
      </c>
      <c r="S34" s="1">
        <v>58.052660000000003</v>
      </c>
      <c r="T34" s="1">
        <v>167.72980000000001</v>
      </c>
      <c r="U34"/>
      <c r="V34" s="1">
        <f t="shared" si="6"/>
        <v>-1.7230710680436458</v>
      </c>
      <c r="W34" s="1">
        <f t="shared" si="7"/>
        <v>1.0132100565408113</v>
      </c>
      <c r="X34" s="1">
        <f t="shared" si="8"/>
        <v>2.9274372637115853</v>
      </c>
      <c r="Y34" s="1">
        <f t="shared" si="9"/>
        <v>23.511327300000001</v>
      </c>
      <c r="Z34" s="1">
        <f t="shared" si="10"/>
        <v>67.930569000000006</v>
      </c>
      <c r="AA34" s="1">
        <f>(0.405*(H34^2))</f>
        <v>0.11318430917065678</v>
      </c>
      <c r="AE34" s="1">
        <v>1.0332110000000001</v>
      </c>
      <c r="AF34" s="1">
        <v>1.091607</v>
      </c>
      <c r="AG34" s="1">
        <v>-80.296589999999995</v>
      </c>
      <c r="AH34" s="1">
        <v>95.011039999999994</v>
      </c>
      <c r="AI34" s="1">
        <v>-290.43009999999998</v>
      </c>
      <c r="AK34" s="1">
        <f t="shared" si="11"/>
        <v>-1.4014398736239535</v>
      </c>
      <c r="AL34" s="1">
        <f t="shared" si="12"/>
        <v>1.6582554737440331</v>
      </c>
      <c r="AM34" s="1">
        <f t="shared" si="13"/>
        <v>-5.068961491896383</v>
      </c>
      <c r="AN34" s="1">
        <f t="shared" si="14"/>
        <v>38.479471199999999</v>
      </c>
      <c r="AO34" s="1">
        <f t="shared" si="15"/>
        <v>-117.6241905</v>
      </c>
      <c r="AP34" s="1">
        <f t="shared" si="16"/>
        <v>1.1136735425618294</v>
      </c>
      <c r="AT34" s="1">
        <v>1.1665000000000001</v>
      </c>
      <c r="AU34" s="1">
        <v>1.1436770000000001</v>
      </c>
      <c r="AV34" s="1">
        <v>-70.693619999999996</v>
      </c>
      <c r="AW34" s="1">
        <v>95.021450000000002</v>
      </c>
      <c r="AX34" s="1">
        <v>-648.21510000000001</v>
      </c>
      <c r="AZ34" s="1">
        <f t="shared" si="17"/>
        <v>-1.2338364291537138</v>
      </c>
      <c r="BA34" s="1">
        <f t="shared" si="18"/>
        <v>1.6584371625191658</v>
      </c>
      <c r="BB34" s="1">
        <f t="shared" si="19"/>
        <v>-11.313487756144296</v>
      </c>
      <c r="BC34" s="1">
        <f t="shared" si="20"/>
        <v>38.483687250000003</v>
      </c>
      <c r="BD34" s="1">
        <f t="shared" si="21"/>
        <v>-262.52711550000004</v>
      </c>
      <c r="BE34" s="1">
        <f t="shared" si="22"/>
        <v>1.113917597919972</v>
      </c>
    </row>
    <row r="35" spans="1:57" x14ac:dyDescent="0.3">
      <c r="A35" s="1">
        <v>1.066511</v>
      </c>
      <c r="B35" s="1">
        <v>0.32491920000000002</v>
      </c>
      <c r="C35" s="1">
        <v>-86.013840000000002</v>
      </c>
      <c r="D35" s="1">
        <v>27.460560000000001</v>
      </c>
      <c r="E35" s="1">
        <v>-91.883439999999993</v>
      </c>
      <c r="G35" s="1">
        <f t="shared" si="1"/>
        <v>-1.5012247102835994</v>
      </c>
      <c r="H35" s="1">
        <f t="shared" si="2"/>
        <v>0.47927718644145406</v>
      </c>
      <c r="I35" s="1">
        <f t="shared" si="3"/>
        <v>-1.6036685560586585</v>
      </c>
      <c r="J35" s="1">
        <f t="shared" si="4"/>
        <v>0.1941072605087889</v>
      </c>
      <c r="K35" s="1">
        <f t="shared" si="0"/>
        <v>-0.64948576520375678</v>
      </c>
      <c r="L35" s="1">
        <f t="shared" si="5"/>
        <v>9.3031181684510716E-2</v>
      </c>
      <c r="O35"/>
      <c r="P35" s="1">
        <v>1.099844</v>
      </c>
      <c r="Q35" s="1">
        <v>0.70034300000000005</v>
      </c>
      <c r="R35" s="1">
        <v>-96.81147</v>
      </c>
      <c r="S35" s="1">
        <v>58.78978</v>
      </c>
      <c r="T35" s="1">
        <v>44.025370000000002</v>
      </c>
      <c r="U35"/>
      <c r="V35" s="1">
        <f t="shared" si="6"/>
        <v>-1.6896789051957146</v>
      </c>
      <c r="W35" s="1">
        <f t="shared" si="7"/>
        <v>1.026075227523112</v>
      </c>
      <c r="X35" s="1">
        <f t="shared" si="8"/>
        <v>0.768387660908736</v>
      </c>
      <c r="Y35" s="1">
        <f t="shared" si="9"/>
        <v>23.8098609</v>
      </c>
      <c r="Z35" s="1">
        <f t="shared" si="10"/>
        <v>17.830274850000002</v>
      </c>
      <c r="AA35" s="1">
        <f>(0.405*(H35^2))</f>
        <v>9.3031181684510716E-2</v>
      </c>
      <c r="AE35" s="1">
        <v>1.066522</v>
      </c>
      <c r="AF35" s="1">
        <v>0.90594540000000001</v>
      </c>
      <c r="AG35" s="1">
        <v>-77.612210000000005</v>
      </c>
      <c r="AH35" s="1">
        <v>78.79383</v>
      </c>
      <c r="AI35" s="1">
        <v>-364.4726</v>
      </c>
      <c r="AK35" s="1">
        <f t="shared" si="11"/>
        <v>-1.3545886042492683</v>
      </c>
      <c r="AL35" s="1">
        <f t="shared" si="12"/>
        <v>1.3752117637566836</v>
      </c>
      <c r="AM35" s="1">
        <f t="shared" si="13"/>
        <v>-6.3612469033042851</v>
      </c>
      <c r="AN35" s="1">
        <f t="shared" si="14"/>
        <v>31.911501150000003</v>
      </c>
      <c r="AO35" s="1">
        <f t="shared" si="15"/>
        <v>-147.611403</v>
      </c>
      <c r="AP35" s="1">
        <f t="shared" si="16"/>
        <v>0.76593899504578133</v>
      </c>
      <c r="AT35" s="1">
        <v>1.1998329999999999</v>
      </c>
      <c r="AU35" s="1">
        <v>0.37035240000000003</v>
      </c>
      <c r="AV35" s="1">
        <v>-67.473280000000003</v>
      </c>
      <c r="AW35" s="1">
        <v>30.749770000000002</v>
      </c>
      <c r="AX35" s="1">
        <v>-1668.287</v>
      </c>
      <c r="AZ35" s="1">
        <f t="shared" si="17"/>
        <v>-1.1776308931200397</v>
      </c>
      <c r="BA35" s="1">
        <f t="shared" si="18"/>
        <v>0.53668473073097678</v>
      </c>
      <c r="BB35" s="1">
        <f t="shared" si="19"/>
        <v>-29.117101018218641</v>
      </c>
      <c r="BC35" s="1">
        <f t="shared" si="20"/>
        <v>12.453656850000002</v>
      </c>
      <c r="BD35" s="1">
        <f t="shared" si="21"/>
        <v>-675.65623500000004</v>
      </c>
      <c r="BE35" s="1">
        <f t="shared" si="22"/>
        <v>0.11665235258091133</v>
      </c>
    </row>
    <row r="36" spans="1:57" x14ac:dyDescent="0.3">
      <c r="A36" s="1">
        <v>1.099844</v>
      </c>
      <c r="B36" s="1">
        <v>0.2868308</v>
      </c>
      <c r="C36" s="1">
        <v>-85.143990000000002</v>
      </c>
      <c r="D36" s="1">
        <v>24.2423</v>
      </c>
      <c r="E36" s="1">
        <v>-115.5699</v>
      </c>
      <c r="G36" s="1">
        <f t="shared" si="1"/>
        <v>-1.4860429637851269</v>
      </c>
      <c r="H36" s="1">
        <f t="shared" si="2"/>
        <v>0.4231079532562213</v>
      </c>
      <c r="I36" s="1">
        <f t="shared" si="3"/>
        <v>-2.0170752712005946</v>
      </c>
      <c r="J36" s="1">
        <f t="shared" si="4"/>
        <v>0.17135872106876965</v>
      </c>
      <c r="K36" s="1">
        <f t="shared" si="0"/>
        <v>-0.81691548483624088</v>
      </c>
      <c r="L36" s="1">
        <f t="shared" si="5"/>
        <v>7.2503237744010851E-2</v>
      </c>
      <c r="O36"/>
      <c r="P36" s="1">
        <v>1.133178</v>
      </c>
      <c r="Q36" s="1">
        <v>0.72936350000000005</v>
      </c>
      <c r="R36" s="1">
        <v>-94.80538</v>
      </c>
      <c r="S36" s="1">
        <v>61.317010000000003</v>
      </c>
      <c r="T36" s="1">
        <v>109.22239999999999</v>
      </c>
      <c r="U36"/>
      <c r="V36" s="1">
        <f t="shared" si="6"/>
        <v>-1.6546660296043816</v>
      </c>
      <c r="W36" s="1">
        <f t="shared" si="7"/>
        <v>1.0701837119782882</v>
      </c>
      <c r="X36" s="1">
        <f t="shared" si="8"/>
        <v>1.9062904969302543</v>
      </c>
      <c r="Y36" s="1">
        <f t="shared" si="9"/>
        <v>24.833389050000005</v>
      </c>
      <c r="Z36" s="1">
        <f t="shared" si="10"/>
        <v>44.235072000000002</v>
      </c>
      <c r="AA36" s="1">
        <f>(0.405*(H36^2))</f>
        <v>7.2503237744010851E-2</v>
      </c>
      <c r="AE36" s="1">
        <v>1.099844</v>
      </c>
      <c r="AF36" s="1">
        <v>0.83743540000000005</v>
      </c>
      <c r="AG36" s="1">
        <v>-75.046300000000002</v>
      </c>
      <c r="AH36" s="1">
        <v>72.837010000000006</v>
      </c>
      <c r="AI36" s="1">
        <v>-768.3202</v>
      </c>
      <c r="AK36" s="1">
        <f t="shared" si="11"/>
        <v>-1.3098050264394205</v>
      </c>
      <c r="AL36" s="1">
        <f t="shared" si="12"/>
        <v>1.2712456418080351</v>
      </c>
      <c r="AM36" s="1">
        <f t="shared" si="13"/>
        <v>-13.409717199581337</v>
      </c>
      <c r="AN36" s="1">
        <f t="shared" si="14"/>
        <v>29.498989050000006</v>
      </c>
      <c r="AO36" s="1">
        <f t="shared" si="15"/>
        <v>-311.16968100000003</v>
      </c>
      <c r="AP36" s="1">
        <f t="shared" si="16"/>
        <v>0.65450652013544885</v>
      </c>
      <c r="AT36" s="1">
        <v>1.2331669999999999</v>
      </c>
      <c r="AU36" s="1">
        <v>0.42718840000000002</v>
      </c>
      <c r="AV36" s="1">
        <v>-68.643640000000005</v>
      </c>
      <c r="AW36" s="1">
        <v>-35.214329999999997</v>
      </c>
      <c r="AX36" s="1">
        <v>-1133.364</v>
      </c>
      <c r="AZ36" s="1">
        <f t="shared" si="17"/>
        <v>-1.1980575285536805</v>
      </c>
      <c r="BA36" s="1">
        <f t="shared" si="18"/>
        <v>-0.6146060023838148</v>
      </c>
      <c r="BB36" s="1">
        <f t="shared" si="19"/>
        <v>-19.780933423573011</v>
      </c>
      <c r="BC36" s="1">
        <f t="shared" si="20"/>
        <v>-14.261803649999999</v>
      </c>
      <c r="BD36" s="1">
        <f t="shared" si="21"/>
        <v>-459.01242000000002</v>
      </c>
      <c r="BE36" s="1">
        <f t="shared" si="22"/>
        <v>0.15298491795731659</v>
      </c>
    </row>
    <row r="37" spans="1:57" x14ac:dyDescent="0.3">
      <c r="A37" s="1">
        <v>1.133189</v>
      </c>
      <c r="B37" s="1">
        <v>0.234152</v>
      </c>
      <c r="C37" s="1">
        <v>-84.397419999999997</v>
      </c>
      <c r="D37" s="1">
        <v>19.787510000000001</v>
      </c>
      <c r="E37" s="1">
        <v>-149.56829999999999</v>
      </c>
      <c r="G37" s="1">
        <f t="shared" si="1"/>
        <v>-1.4730128591885125</v>
      </c>
      <c r="H37" s="1">
        <f t="shared" si="2"/>
        <v>0.34535720027130318</v>
      </c>
      <c r="I37" s="1">
        <f t="shared" si="3"/>
        <v>-2.6104592916106344</v>
      </c>
      <c r="J37" s="1">
        <f t="shared" si="4"/>
        <v>0.1398696661098778</v>
      </c>
      <c r="K37" s="1">
        <f t="shared" si="0"/>
        <v>-1.0572360131023071</v>
      </c>
      <c r="L37" s="1">
        <f t="shared" si="5"/>
        <v>4.8304996290589368E-2</v>
      </c>
      <c r="O37"/>
      <c r="P37" s="1">
        <v>1.1665000000000001</v>
      </c>
      <c r="Q37" s="1">
        <v>0.78085170000000004</v>
      </c>
      <c r="R37" s="1">
        <v>-92.724350000000001</v>
      </c>
      <c r="S37" s="1">
        <v>65.693420000000003</v>
      </c>
      <c r="T37" s="1">
        <v>69.503529999999998</v>
      </c>
      <c r="U37"/>
      <c r="V37" s="1">
        <f t="shared" si="6"/>
        <v>-1.618345204271604</v>
      </c>
      <c r="W37" s="1">
        <f t="shared" si="7"/>
        <v>1.1465664758954932</v>
      </c>
      <c r="X37" s="1">
        <f t="shared" si="8"/>
        <v>1.2130654402586543</v>
      </c>
      <c r="Y37" s="1">
        <f t="shared" si="9"/>
        <v>26.605835100000004</v>
      </c>
      <c r="Z37" s="1">
        <f t="shared" si="10"/>
        <v>28.148929649999999</v>
      </c>
      <c r="AA37" s="1">
        <f>(0.405*(H37^2))</f>
        <v>4.8304996290589368E-2</v>
      </c>
      <c r="AE37" s="1">
        <v>1.133189</v>
      </c>
      <c r="AF37" s="1">
        <v>0.36670520000000001</v>
      </c>
      <c r="AG37" s="1">
        <v>-72.756410000000002</v>
      </c>
      <c r="AH37" s="1">
        <v>31.900780000000001</v>
      </c>
      <c r="AI37" s="1">
        <v>-1017.479</v>
      </c>
      <c r="AK37" s="1">
        <f t="shared" si="11"/>
        <v>-1.2698389064309277</v>
      </c>
      <c r="AL37" s="1">
        <f t="shared" si="12"/>
        <v>0.55677364495435666</v>
      </c>
      <c r="AM37" s="1">
        <f t="shared" si="13"/>
        <v>-17.758358619899386</v>
      </c>
      <c r="AN37" s="1">
        <f t="shared" si="14"/>
        <v>12.919815900000001</v>
      </c>
      <c r="AO37" s="1">
        <f t="shared" si="15"/>
        <v>-412.07899500000002</v>
      </c>
      <c r="AP37" s="1">
        <f t="shared" si="16"/>
        <v>0.12554874114488282</v>
      </c>
      <c r="AT37" s="1">
        <v>1.266489</v>
      </c>
      <c r="AU37" s="1">
        <v>0.42725960000000002</v>
      </c>
      <c r="AV37" s="1">
        <v>-69.820520000000002</v>
      </c>
      <c r="AW37" s="1">
        <v>-35.401859999999999</v>
      </c>
      <c r="AX37" s="1">
        <v>-5.0168670000000004</v>
      </c>
      <c r="AZ37" s="1">
        <f t="shared" si="17"/>
        <v>-1.2185979594545513</v>
      </c>
      <c r="BA37" s="1">
        <f t="shared" si="18"/>
        <v>-0.61787901833007974</v>
      </c>
      <c r="BB37" s="1">
        <f t="shared" si="19"/>
        <v>-8.756084728465037E-2</v>
      </c>
      <c r="BC37" s="1">
        <f t="shared" si="20"/>
        <v>-14.337753300000001</v>
      </c>
      <c r="BD37" s="1">
        <f t="shared" si="21"/>
        <v>-2.0318311350000005</v>
      </c>
      <c r="BE37" s="1">
        <f t="shared" si="22"/>
        <v>0.15461866492347995</v>
      </c>
    </row>
    <row r="38" spans="1:57" x14ac:dyDescent="0.3">
      <c r="A38" s="1">
        <v>1.1665110000000001</v>
      </c>
      <c r="B38" s="1">
        <v>0.16826179999999999</v>
      </c>
      <c r="C38" s="1">
        <v>-83.824820000000003</v>
      </c>
      <c r="D38" s="1">
        <v>14.22287</v>
      </c>
      <c r="E38" s="1">
        <v>-209.4419</v>
      </c>
      <c r="G38" s="1">
        <f t="shared" si="1"/>
        <v>-1.4630191038915932</v>
      </c>
      <c r="H38" s="1">
        <f t="shared" si="2"/>
        <v>0.24823591058312588</v>
      </c>
      <c r="I38" s="1">
        <f t="shared" si="3"/>
        <v>-3.6554507466327113</v>
      </c>
      <c r="J38" s="1">
        <f t="shared" si="4"/>
        <v>0.10053554378616598</v>
      </c>
      <c r="K38" s="1">
        <f t="shared" si="0"/>
        <v>-1.4804575523862482</v>
      </c>
      <c r="L38" s="1">
        <f t="shared" si="5"/>
        <v>2.4956532257728637E-2</v>
      </c>
      <c r="O38"/>
      <c r="P38" s="1">
        <v>1.199878</v>
      </c>
      <c r="Q38" s="1">
        <v>0.79595780000000005</v>
      </c>
      <c r="R38" s="1">
        <v>-90.423630000000003</v>
      </c>
      <c r="S38" s="1">
        <v>67.018730000000005</v>
      </c>
      <c r="T38" s="1">
        <v>-22.066970000000001</v>
      </c>
      <c r="U38"/>
      <c r="V38" s="1">
        <f t="shared" si="6"/>
        <v>-1.5781900651051202</v>
      </c>
      <c r="W38" s="1">
        <f t="shared" si="7"/>
        <v>1.1696974990050995</v>
      </c>
      <c r="X38" s="1">
        <f t="shared" si="8"/>
        <v>-0.38514128243881313</v>
      </c>
      <c r="Y38" s="1">
        <f t="shared" si="9"/>
        <v>27.142585650000004</v>
      </c>
      <c r="Z38" s="1">
        <f t="shared" si="10"/>
        <v>-8.9371228500000015</v>
      </c>
      <c r="AA38" s="1">
        <f>(0.405*(H38^2))</f>
        <v>2.4956532257728637E-2</v>
      </c>
      <c r="AE38" s="1">
        <v>1.1665000000000001</v>
      </c>
      <c r="AF38" s="1">
        <v>5.6531320000000003E-2</v>
      </c>
      <c r="AG38" s="1">
        <v>-72.919929999999994</v>
      </c>
      <c r="AH38" s="1">
        <v>-4.9074549999999997</v>
      </c>
      <c r="AI38" s="1">
        <v>-631.12549999999999</v>
      </c>
      <c r="AK38" s="1">
        <f t="shared" si="11"/>
        <v>-1.2726928688237886</v>
      </c>
      <c r="AL38" s="1">
        <f t="shared" si="12"/>
        <v>-8.5651247643458314E-2</v>
      </c>
      <c r="AM38" s="1">
        <f t="shared" si="13"/>
        <v>-11.015217968295472</v>
      </c>
      <c r="AN38" s="1">
        <f t="shared" si="14"/>
        <v>-1.9875192749999999</v>
      </c>
      <c r="AO38" s="1">
        <f t="shared" si="15"/>
        <v>-255.6058275</v>
      </c>
      <c r="AP38" s="1">
        <f t="shared" si="16"/>
        <v>2.9711351702668147E-3</v>
      </c>
      <c r="AT38" s="1">
        <v>1.299811</v>
      </c>
      <c r="AU38" s="1">
        <v>0.42718840000000002</v>
      </c>
      <c r="AV38" s="1">
        <v>-71.002970000000005</v>
      </c>
      <c r="AW38" s="1">
        <v>-35.548789999999997</v>
      </c>
      <c r="AX38" s="1">
        <v>-4.1420110000000001</v>
      </c>
      <c r="AZ38" s="1">
        <f t="shared" si="17"/>
        <v>-1.2392356051947582</v>
      </c>
      <c r="BA38" s="1">
        <f t="shared" si="18"/>
        <v>-0.62044343060003493</v>
      </c>
      <c r="BB38" s="1">
        <f t="shared" si="19"/>
        <v>-7.2291729603822852E-2</v>
      </c>
      <c r="BC38" s="1">
        <f t="shared" si="20"/>
        <v>-14.39725995</v>
      </c>
      <c r="BD38" s="1">
        <f t="shared" si="21"/>
        <v>-1.6775144550000001</v>
      </c>
      <c r="BE38" s="1">
        <f t="shared" si="22"/>
        <v>0.15590477048276985</v>
      </c>
    </row>
    <row r="39" spans="1:57" x14ac:dyDescent="0.3">
      <c r="A39" s="1">
        <v>1.1998329999999999</v>
      </c>
      <c r="B39" s="1">
        <v>7.2094640000000002E-2</v>
      </c>
      <c r="C39" s="1">
        <v>-83.449539999999999</v>
      </c>
      <c r="D39" s="1">
        <v>6.0902240000000001</v>
      </c>
      <c r="E39" s="1">
        <v>-183.69649999999999</v>
      </c>
      <c r="G39" s="1">
        <f t="shared" si="1"/>
        <v>-1.4564692322747088</v>
      </c>
      <c r="H39" s="1">
        <f t="shared" si="2"/>
        <v>0.10629446098397914</v>
      </c>
      <c r="I39" s="1">
        <f t="shared" si="3"/>
        <v>-3.2061087493897635</v>
      </c>
      <c r="J39" s="1">
        <f t="shared" si="4"/>
        <v>4.3049256698511555E-2</v>
      </c>
      <c r="K39" s="1">
        <f t="shared" si="0"/>
        <v>-1.2984740435028543</v>
      </c>
      <c r="L39" s="1">
        <f t="shared" si="5"/>
        <v>4.5758975365292392E-3</v>
      </c>
      <c r="O39"/>
      <c r="P39" s="1">
        <v>1.2331559999999999</v>
      </c>
      <c r="Q39" s="1">
        <v>0.75355899999999998</v>
      </c>
      <c r="R39" s="1">
        <v>-88.257180000000005</v>
      </c>
      <c r="S39" s="1">
        <v>63.49606</v>
      </c>
      <c r="T39" s="1">
        <v>-103.6956</v>
      </c>
      <c r="U39"/>
      <c r="V39" s="1">
        <f t="shared" si="6"/>
        <v>-1.540378379525289</v>
      </c>
      <c r="W39" s="1">
        <f t="shared" si="7"/>
        <v>1.1082153090438707</v>
      </c>
      <c r="X39" s="1">
        <f t="shared" si="8"/>
        <v>-1.8098296398310321</v>
      </c>
      <c r="Y39" s="1">
        <f t="shared" si="9"/>
        <v>25.715904300000002</v>
      </c>
      <c r="Z39" s="1">
        <f t="shared" si="10"/>
        <v>-41.996718000000001</v>
      </c>
      <c r="AA39" s="1">
        <f>(0.405*(H39^2))</f>
        <v>4.5758975365292392E-3</v>
      </c>
      <c r="AE39" s="1">
        <v>1.1998439999999999</v>
      </c>
      <c r="AF39" s="1">
        <v>5.6531320000000003E-2</v>
      </c>
      <c r="AG39" s="1">
        <v>-73.083519999999993</v>
      </c>
      <c r="AH39" s="1">
        <v>-4.9091829999999996</v>
      </c>
      <c r="AI39" s="1">
        <v>-5.064954E-2</v>
      </c>
      <c r="AK39" s="1">
        <f t="shared" si="11"/>
        <v>-1.2755480529471261</v>
      </c>
      <c r="AL39" s="1">
        <f t="shared" si="12"/>
        <v>-8.5681406932932788E-2</v>
      </c>
      <c r="AM39" s="1">
        <f t="shared" si="13"/>
        <v>-8.8400123762056877E-4</v>
      </c>
      <c r="AN39" s="1">
        <f t="shared" si="14"/>
        <v>-1.9882191149999999</v>
      </c>
      <c r="AO39" s="1">
        <f t="shared" si="15"/>
        <v>-2.05130637E-2</v>
      </c>
      <c r="AP39" s="1">
        <f t="shared" si="16"/>
        <v>2.9732279150727634E-3</v>
      </c>
      <c r="AT39" s="1">
        <v>1.3331440000000001</v>
      </c>
      <c r="AU39" s="1">
        <v>0.42718840000000002</v>
      </c>
      <c r="AV39" s="1">
        <v>-72.190039999999996</v>
      </c>
      <c r="AW39" s="1">
        <v>-35.672049999999999</v>
      </c>
      <c r="AX39" s="1">
        <v>-3.2447870000000001</v>
      </c>
      <c r="AZ39" s="1">
        <f t="shared" si="17"/>
        <v>-1.2599538851464072</v>
      </c>
      <c r="BA39" s="1">
        <f t="shared" si="18"/>
        <v>-0.62259472343604316</v>
      </c>
      <c r="BB39" s="1">
        <f t="shared" si="19"/>
        <v>-5.6632216675909251E-2</v>
      </c>
      <c r="BC39" s="1">
        <f t="shared" si="20"/>
        <v>-14.447180250000001</v>
      </c>
      <c r="BD39" s="1">
        <f t="shared" si="21"/>
        <v>-1.3141387350000002</v>
      </c>
      <c r="BE39" s="1">
        <f t="shared" si="22"/>
        <v>0.15698779680841327</v>
      </c>
    </row>
    <row r="40" spans="1:57" x14ac:dyDescent="0.3">
      <c r="A40" s="1">
        <v>1.2331780000000001</v>
      </c>
      <c r="B40" s="1">
        <v>1.0940760000000001E-2</v>
      </c>
      <c r="C40" s="1">
        <v>-83.418809999999993</v>
      </c>
      <c r="D40" s="1">
        <v>0.92196100000000003</v>
      </c>
      <c r="E40" s="1">
        <v>-88.629329999999996</v>
      </c>
      <c r="G40" s="1">
        <f t="shared" si="1"/>
        <v>-1.455932892595571</v>
      </c>
      <c r="H40" s="1">
        <f t="shared" si="2"/>
        <v>1.6091255024979441E-2</v>
      </c>
      <c r="I40" s="1">
        <f t="shared" si="3"/>
        <v>-1.5468736223365858</v>
      </c>
      <c r="J40" s="1">
        <f t="shared" si="4"/>
        <v>6.516958285116674E-3</v>
      </c>
      <c r="K40" s="1">
        <f t="shared" si="0"/>
        <v>-0.62648381704631728</v>
      </c>
      <c r="L40" s="1">
        <f t="shared" si="5"/>
        <v>1.0486603775296507E-4</v>
      </c>
      <c r="O40"/>
      <c r="P40" s="1">
        <v>1.266478</v>
      </c>
      <c r="Q40" s="1">
        <v>0.71385659999999995</v>
      </c>
      <c r="R40" s="1">
        <v>-86.194789999999998</v>
      </c>
      <c r="S40" s="1">
        <v>60.190300000000001</v>
      </c>
      <c r="T40" s="1">
        <v>-69.30386</v>
      </c>
      <c r="U40"/>
      <c r="V40" s="1">
        <f t="shared" si="6"/>
        <v>-1.5043828835650832</v>
      </c>
      <c r="W40" s="1">
        <f t="shared" si="7"/>
        <v>1.0505189127631429</v>
      </c>
      <c r="X40" s="1">
        <f t="shared" si="8"/>
        <v>-1.2095805413411973</v>
      </c>
      <c r="Y40" s="1">
        <f t="shared" si="9"/>
        <v>24.377071500000003</v>
      </c>
      <c r="Z40" s="1">
        <f t="shared" si="10"/>
        <v>-28.068063300000002</v>
      </c>
      <c r="AA40" s="1">
        <f>(0.405*(H40^2))</f>
        <v>1.0486603775296507E-4</v>
      </c>
      <c r="AE40" s="1">
        <v>1.2331559999999999</v>
      </c>
      <c r="AF40" s="1">
        <v>5.6540750000000001E-2</v>
      </c>
      <c r="AG40" s="1">
        <v>-73.247159999999994</v>
      </c>
      <c r="AH40" s="1">
        <v>-4.9116489999999997</v>
      </c>
      <c r="AI40" s="1">
        <v>-4.825455E-2</v>
      </c>
      <c r="AK40" s="1">
        <f t="shared" si="11"/>
        <v>-1.2784041097350898</v>
      </c>
      <c r="AL40" s="1">
        <f t="shared" si="12"/>
        <v>-8.5724446752286951E-2</v>
      </c>
      <c r="AM40" s="1">
        <f t="shared" si="13"/>
        <v>-8.4220077656822962E-4</v>
      </c>
      <c r="AN40" s="1">
        <f t="shared" si="14"/>
        <v>-1.989217845</v>
      </c>
      <c r="AO40" s="1">
        <f t="shared" si="15"/>
        <v>-1.9543092750000001E-2</v>
      </c>
      <c r="AP40" s="1">
        <f t="shared" si="16"/>
        <v>2.976215712249201E-3</v>
      </c>
      <c r="AT40" s="1">
        <v>1.3664670000000001</v>
      </c>
      <c r="AU40" s="1">
        <v>0.42718840000000002</v>
      </c>
      <c r="AV40" s="1">
        <v>-73.380709999999993</v>
      </c>
      <c r="AW40" s="1">
        <v>-35.76511</v>
      </c>
      <c r="AX40" s="1">
        <v>-2.3312490000000001</v>
      </c>
      <c r="AZ40" s="1">
        <f t="shared" si="17"/>
        <v>-1.2807349969511281</v>
      </c>
      <c r="BA40" s="1">
        <f t="shared" si="18"/>
        <v>-0.62421892683794922</v>
      </c>
      <c r="BB40" s="1">
        <f t="shared" si="19"/>
        <v>-4.0687970733825289E-2</v>
      </c>
      <c r="BC40" s="1">
        <f t="shared" si="20"/>
        <v>-14.484869550000001</v>
      </c>
      <c r="BD40" s="1">
        <f t="shared" si="21"/>
        <v>-0.94415584500000016</v>
      </c>
      <c r="BE40" s="1">
        <f t="shared" si="22"/>
        <v>0.157807953792202</v>
      </c>
    </row>
    <row r="41" spans="1:57" x14ac:dyDescent="0.3">
      <c r="A41" s="1">
        <v>1.2665</v>
      </c>
      <c r="B41" s="1">
        <v>1.09444E-2</v>
      </c>
      <c r="C41" s="1">
        <v>-83.388080000000002</v>
      </c>
      <c r="D41" s="1">
        <v>0.92219110000000004</v>
      </c>
      <c r="E41" s="1">
        <v>-104.79810000000001</v>
      </c>
      <c r="G41" s="1">
        <f t="shared" si="1"/>
        <v>-1.4553965529164332</v>
      </c>
      <c r="H41" s="1">
        <f t="shared" si="2"/>
        <v>1.609527102758828E-2</v>
      </c>
      <c r="I41" s="1">
        <f t="shared" si="3"/>
        <v>-1.8290718948342695</v>
      </c>
      <c r="J41" s="1">
        <f t="shared" si="4"/>
        <v>6.5185847661732542E-3</v>
      </c>
      <c r="K41" s="1">
        <f t="shared" si="0"/>
        <v>-0.74077411740787913</v>
      </c>
      <c r="L41" s="1">
        <f t="shared" si="5"/>
        <v>1.049183885278667E-4</v>
      </c>
      <c r="O41"/>
      <c r="P41" s="1">
        <v>1.299811</v>
      </c>
      <c r="Q41" s="1">
        <v>0.69428840000000003</v>
      </c>
      <c r="R41" s="1">
        <v>-84.245159999999998</v>
      </c>
      <c r="S41" s="1">
        <v>58.54813</v>
      </c>
      <c r="T41" s="1">
        <v>18.952549999999999</v>
      </c>
      <c r="U41"/>
      <c r="V41" s="1">
        <f t="shared" si="6"/>
        <v>-1.4703554208694263</v>
      </c>
      <c r="W41" s="1">
        <f t="shared" si="7"/>
        <v>1.0218576393856675</v>
      </c>
      <c r="X41" s="1">
        <f t="shared" si="8"/>
        <v>0.33078439914885127</v>
      </c>
      <c r="Y41" s="1">
        <f t="shared" si="9"/>
        <v>23.711992650000003</v>
      </c>
      <c r="Z41" s="1">
        <f t="shared" si="10"/>
        <v>7.6757827499999998</v>
      </c>
      <c r="AA41" s="1">
        <f>(0.405*(H41^2))</f>
        <v>1.049183885278667E-4</v>
      </c>
      <c r="AE41" s="1">
        <v>1.266489</v>
      </c>
      <c r="AF41" s="1">
        <v>5.65219E-2</v>
      </c>
      <c r="AG41" s="1">
        <v>-73.410849999999996</v>
      </c>
      <c r="AH41" s="1">
        <v>-4.911581</v>
      </c>
      <c r="AI41" s="1">
        <v>-4.5887030000000002E-2</v>
      </c>
      <c r="AK41" s="1">
        <f t="shared" si="11"/>
        <v>-1.2812610391876791</v>
      </c>
      <c r="AL41" s="1">
        <f t="shared" si="12"/>
        <v>-8.5723259928395606E-2</v>
      </c>
      <c r="AM41" s="1">
        <f t="shared" si="13"/>
        <v>-8.0087975746141369E-4</v>
      </c>
      <c r="AN41" s="1">
        <f t="shared" si="14"/>
        <v>-1.9891903050000002</v>
      </c>
      <c r="AO41" s="1">
        <f t="shared" si="15"/>
        <v>-1.8584247150000004E-2</v>
      </c>
      <c r="AP41" s="1">
        <f t="shared" si="16"/>
        <v>2.9761333035642672E-3</v>
      </c>
      <c r="AT41" s="1">
        <v>1.3997999999999999</v>
      </c>
      <c r="AU41" s="1">
        <v>0.42711719999999997</v>
      </c>
      <c r="AV41" s="1">
        <v>-74.573980000000006</v>
      </c>
      <c r="AW41" s="1">
        <v>-35.82152</v>
      </c>
      <c r="AX41" s="1">
        <v>-1.4064559999999999</v>
      </c>
      <c r="AZ41" s="1">
        <f t="shared" si="17"/>
        <v>-1.301561487316401</v>
      </c>
      <c r="BA41" s="1">
        <f t="shared" si="18"/>
        <v>-0.6252034670689991</v>
      </c>
      <c r="BB41" s="1">
        <f t="shared" si="19"/>
        <v>-2.4547287984429369E-2</v>
      </c>
      <c r="BC41" s="1">
        <f t="shared" si="20"/>
        <v>-14.507715600000001</v>
      </c>
      <c r="BD41" s="1">
        <f t="shared" si="21"/>
        <v>-0.56961468000000004</v>
      </c>
      <c r="BE41" s="1">
        <f t="shared" si="22"/>
        <v>0.15830614697021431</v>
      </c>
    </row>
    <row r="42" spans="1:57" x14ac:dyDescent="0.3">
      <c r="A42" s="1">
        <v>1.299822</v>
      </c>
      <c r="B42" s="1">
        <v>6.155915E-2</v>
      </c>
      <c r="C42" s="1">
        <v>-83.357349999999997</v>
      </c>
      <c r="D42" s="1">
        <v>-5.1911250000000004</v>
      </c>
      <c r="E42" s="1">
        <v>-202.15450000000001</v>
      </c>
      <c r="G42" s="1">
        <f t="shared" si="1"/>
        <v>-1.454860213237295</v>
      </c>
      <c r="H42" s="1">
        <f t="shared" si="2"/>
        <v>-9.0602223132590642E-2</v>
      </c>
      <c r="I42" s="1">
        <f t="shared" si="3"/>
        <v>-3.5282616227228769</v>
      </c>
      <c r="J42" s="1">
        <f t="shared" si="4"/>
        <v>-3.6693900368699212E-2</v>
      </c>
      <c r="K42" s="1">
        <f t="shared" si="0"/>
        <v>-1.4289459572027652</v>
      </c>
      <c r="L42" s="1">
        <f t="shared" si="5"/>
        <v>3.3245489488099365E-3</v>
      </c>
      <c r="O42"/>
      <c r="P42" s="1">
        <v>1.3331440000000001</v>
      </c>
      <c r="Q42" s="1">
        <v>0.73199630000000004</v>
      </c>
      <c r="R42" s="1">
        <v>-82.291579999999996</v>
      </c>
      <c r="S42" s="1">
        <v>61.315330000000003</v>
      </c>
      <c r="T42" s="1">
        <v>51.277610000000003</v>
      </c>
      <c r="U42"/>
      <c r="V42" s="1">
        <f t="shared" si="6"/>
        <v>-1.4362590176683152</v>
      </c>
      <c r="W42" s="1">
        <f t="shared" si="7"/>
        <v>1.0701543904468547</v>
      </c>
      <c r="X42" s="1">
        <f t="shared" si="8"/>
        <v>0.89496312705356962</v>
      </c>
      <c r="Y42" s="1">
        <f t="shared" si="9"/>
        <v>24.832708650000004</v>
      </c>
      <c r="Z42" s="1">
        <f t="shared" si="10"/>
        <v>20.767432050000004</v>
      </c>
      <c r="AA42" s="1">
        <f>(0.405*(H42^2))</f>
        <v>3.3245489488099365E-3</v>
      </c>
      <c r="AE42" s="1">
        <v>1.299822</v>
      </c>
      <c r="AF42" s="1">
        <v>5.6531320000000003E-2</v>
      </c>
      <c r="AG42" s="1">
        <v>-73.574600000000004</v>
      </c>
      <c r="AH42" s="1">
        <v>-4.9138890000000002</v>
      </c>
      <c r="AI42" s="1">
        <v>-4.3484439999999999E-2</v>
      </c>
      <c r="AK42" s="1">
        <f t="shared" si="11"/>
        <v>-1.28411901583782</v>
      </c>
      <c r="AL42" s="1">
        <f t="shared" si="12"/>
        <v>-8.5763542127531636E-2</v>
      </c>
      <c r="AM42" s="1">
        <f t="shared" si="13"/>
        <v>-7.5894665138592299E-4</v>
      </c>
      <c r="AN42" s="1">
        <f t="shared" si="14"/>
        <v>-1.9901250450000001</v>
      </c>
      <c r="AO42" s="1">
        <f t="shared" si="15"/>
        <v>-1.7611198200000001E-2</v>
      </c>
      <c r="AP42" s="1">
        <f t="shared" si="16"/>
        <v>2.978930989095662E-3</v>
      </c>
      <c r="AT42" s="1">
        <v>1.433133</v>
      </c>
      <c r="AU42" s="1">
        <v>0.42718840000000002</v>
      </c>
      <c r="AV42" s="1">
        <v>-75.768820000000005</v>
      </c>
      <c r="AW42" s="1">
        <v>-35.858879999999999</v>
      </c>
      <c r="AX42" s="1">
        <v>-0.47389989999999999</v>
      </c>
      <c r="AZ42" s="1">
        <f t="shared" si="17"/>
        <v>-1.3224153793509301</v>
      </c>
      <c r="BA42" s="1">
        <f t="shared" si="18"/>
        <v>-0.62585552207754414</v>
      </c>
      <c r="BB42" s="1">
        <f t="shared" si="19"/>
        <v>-8.2711135798718763E-3</v>
      </c>
      <c r="BC42" s="1">
        <f t="shared" si="20"/>
        <v>-14.522846400000001</v>
      </c>
      <c r="BD42" s="1">
        <f t="shared" si="21"/>
        <v>-0.19192945950000001</v>
      </c>
      <c r="BE42" s="1">
        <f t="shared" si="22"/>
        <v>0.15863652947855694</v>
      </c>
    </row>
    <row r="43" spans="1:57" x14ac:dyDescent="0.3">
      <c r="A43" s="1">
        <v>1.333156</v>
      </c>
      <c r="B43" s="1">
        <v>0.16472519999999999</v>
      </c>
      <c r="C43" s="1">
        <v>-83.734089999999995</v>
      </c>
      <c r="D43" s="1">
        <v>-13.92259</v>
      </c>
      <c r="E43" s="1">
        <v>-217.26660000000001</v>
      </c>
      <c r="G43" s="1">
        <f t="shared" si="1"/>
        <v>-1.4614355666612586</v>
      </c>
      <c r="H43" s="1">
        <f t="shared" si="2"/>
        <v>-0.2429950359052373</v>
      </c>
      <c r="I43" s="1">
        <f t="shared" si="3"/>
        <v>-3.7920175246135122</v>
      </c>
      <c r="J43" s="1">
        <f t="shared" si="4"/>
        <v>-9.8412989541621115E-2</v>
      </c>
      <c r="K43" s="1">
        <f t="shared" si="0"/>
        <v>-1.5357670974684725</v>
      </c>
      <c r="L43" s="1">
        <f t="shared" si="5"/>
        <v>2.3913867927207965E-2</v>
      </c>
      <c r="O43"/>
      <c r="P43" s="1">
        <v>1.3664780000000001</v>
      </c>
      <c r="Q43" s="1">
        <v>0.76215449999999996</v>
      </c>
      <c r="R43" s="1">
        <v>-80.157480000000007</v>
      </c>
      <c r="S43" s="1">
        <v>62.893239999999999</v>
      </c>
      <c r="T43" s="1">
        <v>-217.53729999999999</v>
      </c>
      <c r="U43"/>
      <c r="V43" s="1">
        <f t="shared" si="6"/>
        <v>-1.3990119461015045</v>
      </c>
      <c r="W43" s="1">
        <f t="shared" si="7"/>
        <v>1.0976941152469983</v>
      </c>
      <c r="X43" s="1">
        <f t="shared" si="8"/>
        <v>-3.7967421308986604</v>
      </c>
      <c r="Y43" s="1">
        <f t="shared" si="9"/>
        <v>25.471762200000001</v>
      </c>
      <c r="Z43" s="1">
        <f t="shared" si="10"/>
        <v>-88.102606500000007</v>
      </c>
      <c r="AA43" s="1">
        <f>(0.405*(H43^2))</f>
        <v>2.3913867927207965E-2</v>
      </c>
      <c r="AE43" s="1">
        <v>1.3331440000000001</v>
      </c>
      <c r="AF43" s="1">
        <v>5.6531320000000003E-2</v>
      </c>
      <c r="AG43" s="1">
        <v>-73.738389999999995</v>
      </c>
      <c r="AH43" s="1">
        <v>-4.9152979999999999</v>
      </c>
      <c r="AI43" s="1">
        <v>-4.109289E-2</v>
      </c>
      <c r="AK43" s="1">
        <f t="shared" si="11"/>
        <v>-1.2869776906196613</v>
      </c>
      <c r="AL43" s="1">
        <f t="shared" si="12"/>
        <v>-8.5788133816692244E-2</v>
      </c>
      <c r="AM43" s="1">
        <f t="shared" si="13"/>
        <v>-7.1720622965985262E-4</v>
      </c>
      <c r="AN43" s="1">
        <f t="shared" si="14"/>
        <v>-1.9906956900000001</v>
      </c>
      <c r="AO43" s="1">
        <f t="shared" si="15"/>
        <v>-1.6642620449999999E-2</v>
      </c>
      <c r="AP43" s="1">
        <f t="shared" si="16"/>
        <v>2.9806395810190317E-3</v>
      </c>
      <c r="AT43" s="1">
        <v>1.466456</v>
      </c>
      <c r="AU43" s="1">
        <v>0.42718840000000002</v>
      </c>
      <c r="AV43" s="1">
        <v>-76.964179999999999</v>
      </c>
      <c r="AW43" s="1">
        <v>-35.859099999999998</v>
      </c>
      <c r="AX43" s="1">
        <v>0.46088709999999999</v>
      </c>
      <c r="AZ43" s="1">
        <f t="shared" si="17"/>
        <v>-1.3432783470975693</v>
      </c>
      <c r="BA43" s="1">
        <f t="shared" si="18"/>
        <v>-0.62585936180189861</v>
      </c>
      <c r="BB43" s="1">
        <f t="shared" si="19"/>
        <v>8.0439973749683574E-3</v>
      </c>
      <c r="BC43" s="1">
        <f t="shared" si="20"/>
        <v>-14.522935500000001</v>
      </c>
      <c r="BD43" s="1">
        <f t="shared" si="21"/>
        <v>0.1866592755</v>
      </c>
      <c r="BE43" s="1">
        <f t="shared" si="22"/>
        <v>0.15863847600580733</v>
      </c>
    </row>
    <row r="44" spans="1:57" x14ac:dyDescent="0.3">
      <c r="A44" s="1">
        <v>1.3664890000000001</v>
      </c>
      <c r="B44" s="1">
        <v>0.22672590000000001</v>
      </c>
      <c r="C44" s="1">
        <v>-84.285520000000005</v>
      </c>
      <c r="D44" s="1">
        <v>-19.171060000000001</v>
      </c>
      <c r="E44" s="1">
        <v>-139.61859999999999</v>
      </c>
      <c r="G44" s="1">
        <f t="shared" si="1"/>
        <v>-1.4710598357555309</v>
      </c>
      <c r="H44" s="1">
        <f t="shared" si="2"/>
        <v>-0.3345981180973841</v>
      </c>
      <c r="I44" s="1">
        <f t="shared" si="3"/>
        <v>-2.4368042670249546</v>
      </c>
      <c r="J44" s="1">
        <f t="shared" si="4"/>
        <v>-0.13551223782944058</v>
      </c>
      <c r="K44" s="1">
        <f t="shared" si="0"/>
        <v>-0.98690572814510669</v>
      </c>
      <c r="L44" s="1">
        <f t="shared" si="5"/>
        <v>4.5342139756895959E-2</v>
      </c>
      <c r="O44"/>
      <c r="P44" s="1">
        <v>1.3998109999999999</v>
      </c>
      <c r="Q44" s="1">
        <v>0.57992379999999999</v>
      </c>
      <c r="R44" s="1">
        <v>-78.098699999999994</v>
      </c>
      <c r="S44" s="1">
        <v>48.070819999999998</v>
      </c>
      <c r="T44" s="1">
        <v>-472.2122</v>
      </c>
      <c r="U44"/>
      <c r="V44" s="1">
        <f t="shared" si="6"/>
        <v>-1.3630794565272952</v>
      </c>
      <c r="W44" s="1">
        <f t="shared" si="7"/>
        <v>0.83899408313354051</v>
      </c>
      <c r="X44" s="1">
        <f t="shared" si="8"/>
        <v>-8.2416576580859662</v>
      </c>
      <c r="Y44" s="1">
        <f t="shared" si="9"/>
        <v>19.468682099999999</v>
      </c>
      <c r="Z44" s="1">
        <f t="shared" si="10"/>
        <v>-191.24594100000002</v>
      </c>
      <c r="AA44" s="1">
        <f>(0.405*(H44^2))</f>
        <v>4.5342139756895959E-2</v>
      </c>
      <c r="AE44" s="1">
        <v>1.3664780000000001</v>
      </c>
      <c r="AF44" s="1">
        <v>5.65219E-2</v>
      </c>
      <c r="AG44" s="1">
        <v>-73.902230000000003</v>
      </c>
      <c r="AH44" s="1">
        <v>-4.9158090000000003</v>
      </c>
      <c r="AI44" s="1">
        <v>-3.8697330000000002E-2</v>
      </c>
      <c r="AK44" s="1">
        <f t="shared" si="11"/>
        <v>-1.2898372380661292</v>
      </c>
      <c r="AL44" s="1">
        <f t="shared" si="12"/>
        <v>-8.5797052449169936E-2</v>
      </c>
      <c r="AM44" s="1">
        <f t="shared" si="13"/>
        <v>-6.7539582023077725E-4</v>
      </c>
      <c r="AN44" s="1">
        <f t="shared" si="14"/>
        <v>-1.9909026450000002</v>
      </c>
      <c r="AO44" s="1">
        <f t="shared" si="15"/>
        <v>-1.5672418650000002E-2</v>
      </c>
      <c r="AP44" s="1">
        <f t="shared" si="16"/>
        <v>2.9812593546310749E-3</v>
      </c>
      <c r="AT44" s="1">
        <v>1.499789</v>
      </c>
      <c r="AU44" s="1">
        <v>0.42711719999999997</v>
      </c>
      <c r="AV44" s="1">
        <v>-78.159019999999998</v>
      </c>
      <c r="AW44" s="1">
        <v>-35.822180000000003</v>
      </c>
      <c r="AX44" s="1">
        <v>1.3930450000000001</v>
      </c>
      <c r="AZ44" s="1">
        <f t="shared" si="17"/>
        <v>-1.3641322391320982</v>
      </c>
      <c r="BA44" s="1">
        <f t="shared" si="18"/>
        <v>-0.6252149862420624</v>
      </c>
      <c r="BB44" s="1">
        <f t="shared" si="19"/>
        <v>2.4313221878444407E-2</v>
      </c>
      <c r="BC44" s="1">
        <f t="shared" si="20"/>
        <v>-14.507982900000002</v>
      </c>
      <c r="BD44" s="1">
        <f t="shared" si="21"/>
        <v>0.56418322500000007</v>
      </c>
      <c r="BE44" s="1">
        <f t="shared" si="22"/>
        <v>0.15831198050377324</v>
      </c>
    </row>
    <row r="45" spans="1:57" x14ac:dyDescent="0.3">
      <c r="A45" s="1">
        <v>1.3998330000000001</v>
      </c>
      <c r="B45" s="1">
        <v>0.27666629999999998</v>
      </c>
      <c r="C45" s="1">
        <v>-85.012379999999993</v>
      </c>
      <c r="D45" s="1">
        <v>-23.387810000000002</v>
      </c>
      <c r="E45" s="1">
        <v>-114.65600000000001</v>
      </c>
      <c r="G45" s="1">
        <f t="shared" si="1"/>
        <v>-1.483745935956577</v>
      </c>
      <c r="H45" s="1">
        <f t="shared" si="2"/>
        <v>-0.40819428933085505</v>
      </c>
      <c r="I45" s="1">
        <f t="shared" si="3"/>
        <v>-2.0011247071666185</v>
      </c>
      <c r="J45" s="1">
        <f t="shared" si="4"/>
        <v>-0.16531868717899631</v>
      </c>
      <c r="K45" s="1">
        <f t="shared" si="0"/>
        <v>-0.81045550640248054</v>
      </c>
      <c r="L45" s="1">
        <f t="shared" si="5"/>
        <v>6.7482144026140334E-2</v>
      </c>
      <c r="O45"/>
      <c r="P45" s="1">
        <v>1.433133</v>
      </c>
      <c r="Q45" s="1">
        <v>0.34198070000000003</v>
      </c>
      <c r="R45" s="1">
        <v>-76.953289999999996</v>
      </c>
      <c r="S45" s="1">
        <v>28.469270000000002</v>
      </c>
      <c r="T45" s="1">
        <v>-445.48450000000003</v>
      </c>
      <c r="U45"/>
      <c r="V45" s="1">
        <f t="shared" si="6"/>
        <v>-1.343088280742027</v>
      </c>
      <c r="W45" s="1">
        <f t="shared" si="7"/>
        <v>0.49688249713924609</v>
      </c>
      <c r="X45" s="1">
        <f t="shared" si="8"/>
        <v>-7.7751712916006799</v>
      </c>
      <c r="Y45" s="1">
        <f t="shared" si="9"/>
        <v>11.530054350000002</v>
      </c>
      <c r="Z45" s="1">
        <f t="shared" si="10"/>
        <v>-180.42122250000003</v>
      </c>
      <c r="AA45" s="1">
        <f>(0.405*(H45^2))</f>
        <v>6.7482144026140334E-2</v>
      </c>
      <c r="AE45" s="1">
        <v>1.3998109999999999</v>
      </c>
      <c r="AF45" s="1">
        <v>5.65219E-2</v>
      </c>
      <c r="AG45" s="1">
        <v>-74.066109999999995</v>
      </c>
      <c r="AH45" s="1">
        <v>-4.9170590000000001</v>
      </c>
      <c r="AI45" s="1">
        <v>-760.13840000000005</v>
      </c>
      <c r="AK45" s="1">
        <f t="shared" si="11"/>
        <v>-1.2926974836442973</v>
      </c>
      <c r="AL45" s="1">
        <f t="shared" si="12"/>
        <v>-8.581886906481985E-2</v>
      </c>
      <c r="AM45" s="1">
        <f t="shared" si="13"/>
        <v>-13.266917850841667</v>
      </c>
      <c r="AN45" s="1">
        <f t="shared" si="14"/>
        <v>-1.9914088950000002</v>
      </c>
      <c r="AO45" s="1">
        <f t="shared" si="15"/>
        <v>-307.85605200000003</v>
      </c>
      <c r="AP45" s="1">
        <f t="shared" si="16"/>
        <v>2.9827757064637009E-3</v>
      </c>
      <c r="AT45" s="1">
        <v>1.5331220000000001</v>
      </c>
      <c r="AU45" s="1">
        <v>0.42704599999999998</v>
      </c>
      <c r="AV45" s="1">
        <v>-79.352320000000006</v>
      </c>
      <c r="AW45" s="1">
        <v>-35.754269999999998</v>
      </c>
      <c r="AX45" s="1">
        <v>2.3184390000000001</v>
      </c>
      <c r="AZ45" s="1">
        <f t="shared" si="17"/>
        <v>-1.3849592530961468</v>
      </c>
      <c r="BA45" s="1">
        <f t="shared" si="18"/>
        <v>-0.62402973314703292</v>
      </c>
      <c r="BB45" s="1">
        <f t="shared" si="19"/>
        <v>4.0464394056644815E-2</v>
      </c>
      <c r="BC45" s="1">
        <f t="shared" si="20"/>
        <v>-14.48047935</v>
      </c>
      <c r="BD45" s="1">
        <f t="shared" si="21"/>
        <v>0.93896779500000016</v>
      </c>
      <c r="BE45" s="1">
        <f t="shared" si="22"/>
        <v>0.15771230867988065</v>
      </c>
    </row>
    <row r="46" spans="1:57" x14ac:dyDescent="0.3">
      <c r="A46" s="1">
        <v>1.433133</v>
      </c>
      <c r="B46" s="1">
        <v>0.31529859999999998</v>
      </c>
      <c r="C46" s="1">
        <v>-85.844189999999998</v>
      </c>
      <c r="D46" s="1">
        <v>-26.660779999999999</v>
      </c>
      <c r="E46" s="1">
        <v>-115.71169999999999</v>
      </c>
      <c r="G46" s="1">
        <f t="shared" si="1"/>
        <v>-1.4982637592075909</v>
      </c>
      <c r="H46" s="1">
        <f t="shared" si="2"/>
        <v>-0.46531839214985382</v>
      </c>
      <c r="I46" s="1">
        <f t="shared" si="3"/>
        <v>-2.0195501480799223</v>
      </c>
      <c r="J46" s="1">
        <f t="shared" si="4"/>
        <v>-0.1884539488206908</v>
      </c>
      <c r="K46" s="1">
        <f t="shared" si="0"/>
        <v>-0.81791780997236863</v>
      </c>
      <c r="L46" s="1">
        <f t="shared" si="5"/>
        <v>8.7691088459534688E-2</v>
      </c>
      <c r="O46"/>
      <c r="P46" s="1">
        <v>1.4665109999999999</v>
      </c>
      <c r="Q46" s="1">
        <v>0.2301368</v>
      </c>
      <c r="R46" s="1">
        <v>-76.199799999999996</v>
      </c>
      <c r="S46" s="1">
        <v>19.148669999999999</v>
      </c>
      <c r="T46" s="1">
        <v>-296.99549999999999</v>
      </c>
      <c r="U46"/>
      <c r="V46" s="1">
        <f t="shared" si="6"/>
        <v>-1.3299373993611749</v>
      </c>
      <c r="W46" s="1">
        <f t="shared" si="7"/>
        <v>0.33420733887786253</v>
      </c>
      <c r="X46" s="1">
        <f t="shared" si="8"/>
        <v>-5.1835493386068192</v>
      </c>
      <c r="Y46" s="1">
        <f t="shared" si="9"/>
        <v>7.7552113500000006</v>
      </c>
      <c r="Z46" s="1">
        <f t="shared" si="10"/>
        <v>-120.28317750000001</v>
      </c>
      <c r="AA46" s="1">
        <f>(0.405*(H46^2))</f>
        <v>8.7691088459534688E-2</v>
      </c>
      <c r="AE46" s="1">
        <v>1.433144</v>
      </c>
      <c r="AF46" s="1">
        <v>0.56540789999999996</v>
      </c>
      <c r="AG46" s="1">
        <v>-74.230029999999999</v>
      </c>
      <c r="AH46" s="1">
        <v>-49.259160000000001</v>
      </c>
      <c r="AI46" s="1">
        <v>-1109.973</v>
      </c>
      <c r="AK46" s="1">
        <f t="shared" si="11"/>
        <v>-1.2955584273541663</v>
      </c>
      <c r="AL46" s="1">
        <f t="shared" si="12"/>
        <v>-0.85973452876668999</v>
      </c>
      <c r="AM46" s="1">
        <f t="shared" si="13"/>
        <v>-19.372683458239017</v>
      </c>
      <c r="AN46" s="1">
        <f t="shared" si="14"/>
        <v>-19.949959800000002</v>
      </c>
      <c r="AO46" s="1">
        <f t="shared" si="15"/>
        <v>-449.53906499999999</v>
      </c>
      <c r="AP46" s="1">
        <f t="shared" si="16"/>
        <v>0.29935310128124143</v>
      </c>
      <c r="AT46" s="1">
        <v>1.5664670000000001</v>
      </c>
      <c r="AU46" s="1">
        <v>0.42718840000000002</v>
      </c>
      <c r="AV46" s="1">
        <v>-80.543040000000005</v>
      </c>
      <c r="AW46" s="1">
        <v>-35.673560000000002</v>
      </c>
      <c r="AX46" s="1">
        <v>3.232173</v>
      </c>
      <c r="AZ46" s="1">
        <f t="shared" si="17"/>
        <v>-1.4057412375654936</v>
      </c>
      <c r="BA46" s="1">
        <f t="shared" si="18"/>
        <v>-0.62262107790774834</v>
      </c>
      <c r="BB46" s="1">
        <f t="shared" si="19"/>
        <v>5.6412060844062681E-2</v>
      </c>
      <c r="BC46" s="1">
        <f t="shared" si="20"/>
        <v>-14.447791800000001</v>
      </c>
      <c r="BD46" s="1">
        <f t="shared" si="21"/>
        <v>1.309030065</v>
      </c>
      <c r="BE46" s="1">
        <f t="shared" si="22"/>
        <v>0.1570010876952776</v>
      </c>
    </row>
    <row r="47" spans="1:57" x14ac:dyDescent="0.3">
      <c r="A47" s="1">
        <v>1.466467</v>
      </c>
      <c r="B47" s="1">
        <v>0.36625930000000001</v>
      </c>
      <c r="C47" s="1">
        <v>-86.788870000000003</v>
      </c>
      <c r="D47" s="1">
        <v>-30.978210000000001</v>
      </c>
      <c r="E47" s="1">
        <v>-108.92910000000001</v>
      </c>
      <c r="G47" s="1">
        <f t="shared" si="1"/>
        <v>-1.5147515355853309</v>
      </c>
      <c r="H47" s="1">
        <f t="shared" si="2"/>
        <v>-0.54067176087423263</v>
      </c>
      <c r="I47" s="1">
        <f t="shared" si="3"/>
        <v>-1.9011714462341551</v>
      </c>
      <c r="J47" s="1">
        <f t="shared" si="4"/>
        <v>-0.21897206315406423</v>
      </c>
      <c r="K47" s="1">
        <f t="shared" si="0"/>
        <v>-0.76997443572483293</v>
      </c>
      <c r="L47" s="1">
        <f t="shared" si="5"/>
        <v>0.11839201096777158</v>
      </c>
      <c r="O47"/>
      <c r="P47" s="1">
        <v>1.499789</v>
      </c>
      <c r="Q47" s="1">
        <v>0.1139759</v>
      </c>
      <c r="R47" s="1">
        <v>-75.676919999999996</v>
      </c>
      <c r="S47" s="1">
        <v>9.4472629999999995</v>
      </c>
      <c r="T47" s="1">
        <v>-252.2124</v>
      </c>
      <c r="U47"/>
      <c r="V47" s="1">
        <f t="shared" si="6"/>
        <v>-1.3208114217683471</v>
      </c>
      <c r="W47" s="1">
        <f t="shared" si="7"/>
        <v>0.16488584465183706</v>
      </c>
      <c r="X47" s="1">
        <f t="shared" si="8"/>
        <v>-4.4019367943569465</v>
      </c>
      <c r="Y47" s="1">
        <f t="shared" si="9"/>
        <v>3.8261415150000002</v>
      </c>
      <c r="Z47" s="1">
        <f t="shared" si="10"/>
        <v>-102.146022</v>
      </c>
      <c r="AA47" s="1">
        <f>(0.405*(H47^2))</f>
        <v>0.11839201096777158</v>
      </c>
      <c r="AE47" s="1">
        <v>1.466456</v>
      </c>
      <c r="AF47" s="1">
        <v>1.0531060000000001</v>
      </c>
      <c r="AG47" s="1">
        <v>-77.348960000000005</v>
      </c>
      <c r="AH47" s="1">
        <v>-91.832539999999995</v>
      </c>
      <c r="AI47" s="1">
        <v>-790.06169999999997</v>
      </c>
      <c r="AK47" s="1">
        <f t="shared" si="11"/>
        <v>-1.3499940249933933</v>
      </c>
      <c r="AL47" s="1">
        <f t="shared" si="12"/>
        <v>-1.6027801834693933</v>
      </c>
      <c r="AM47" s="1">
        <f t="shared" si="13"/>
        <v>-13.789177958903684</v>
      </c>
      <c r="AN47" s="1">
        <f t="shared" si="14"/>
        <v>-37.192178699999999</v>
      </c>
      <c r="AO47" s="1">
        <f t="shared" si="15"/>
        <v>-319.97498849999999</v>
      </c>
      <c r="AP47" s="1">
        <f t="shared" si="16"/>
        <v>1.0404062481914838</v>
      </c>
      <c r="AT47" s="1">
        <v>1.5997779999999999</v>
      </c>
      <c r="AU47" s="1">
        <v>0.42733090000000001</v>
      </c>
      <c r="AV47" s="1">
        <v>-81.730159999999998</v>
      </c>
      <c r="AW47" s="1">
        <v>-35.562570000000001</v>
      </c>
      <c r="AX47" s="1">
        <v>-1554.6590000000001</v>
      </c>
      <c r="AZ47" s="1">
        <f t="shared" si="17"/>
        <v>-1.4264603901817685</v>
      </c>
      <c r="BA47" s="1">
        <f t="shared" si="18"/>
        <v>-0.6206839369709598</v>
      </c>
      <c r="BB47" s="1">
        <f t="shared" si="19"/>
        <v>-27.133918295762527</v>
      </c>
      <c r="BC47" s="1">
        <f t="shared" si="20"/>
        <v>-14.40284085</v>
      </c>
      <c r="BD47" s="1">
        <f t="shared" si="21"/>
        <v>-629.6368950000001</v>
      </c>
      <c r="BE47" s="1">
        <f t="shared" si="22"/>
        <v>0.15602566259357703</v>
      </c>
    </row>
    <row r="48" spans="1:57" x14ac:dyDescent="0.3">
      <c r="A48" s="1">
        <v>1.499789</v>
      </c>
      <c r="B48" s="1">
        <v>0.40566419999999997</v>
      </c>
      <c r="C48" s="1">
        <v>-87.909059999999997</v>
      </c>
      <c r="D48" s="1">
        <v>-34.310049999999997</v>
      </c>
      <c r="E48" s="1">
        <v>-71.657820000000001</v>
      </c>
      <c r="G48" s="1">
        <f t="shared" si="1"/>
        <v>-1.5343025393332463</v>
      </c>
      <c r="H48" s="1">
        <f t="shared" si="2"/>
        <v>-0.59882333902388041</v>
      </c>
      <c r="I48" s="1">
        <f t="shared" si="3"/>
        <v>-1.2506648938014431</v>
      </c>
      <c r="J48" s="1">
        <f t="shared" si="4"/>
        <v>-0.24252345230467159</v>
      </c>
      <c r="K48" s="1">
        <f t="shared" si="0"/>
        <v>-0.50651928198958451</v>
      </c>
      <c r="L48" s="1">
        <f t="shared" si="5"/>
        <v>0.14522870350068223</v>
      </c>
      <c r="O48"/>
      <c r="P48" s="1">
        <v>1.5331109999999999</v>
      </c>
      <c r="Q48" s="1">
        <v>1.6046890000000001E-2</v>
      </c>
      <c r="R48" s="1">
        <v>-75.570610000000002</v>
      </c>
      <c r="S48" s="1">
        <v>1.3139940000000001</v>
      </c>
      <c r="T48" s="1">
        <v>-147.60499999999999</v>
      </c>
      <c r="U48"/>
      <c r="V48" s="1">
        <f t="shared" si="6"/>
        <v>-1.318955962240552</v>
      </c>
      <c r="W48" s="1">
        <f t="shared" si="7"/>
        <v>2.2933521651450371E-2</v>
      </c>
      <c r="X48" s="1">
        <f t="shared" si="8"/>
        <v>-2.5761932424062297</v>
      </c>
      <c r="Y48" s="1">
        <f t="shared" si="9"/>
        <v>0.53216757000000003</v>
      </c>
      <c r="Z48" s="1">
        <f t="shared" si="10"/>
        <v>-59.780025000000002</v>
      </c>
      <c r="AA48" s="1">
        <f>(0.405*(H48^2))</f>
        <v>0.14522870350068223</v>
      </c>
      <c r="AE48" s="1">
        <v>1.4998</v>
      </c>
      <c r="AF48" s="1">
        <v>1.0817030000000001</v>
      </c>
      <c r="AG48" s="1">
        <v>-80.351179999999999</v>
      </c>
      <c r="AH48" s="1">
        <v>-94.439019999999999</v>
      </c>
      <c r="AI48" s="1">
        <v>-82.271199999999993</v>
      </c>
      <c r="AK48" s="1">
        <f t="shared" si="11"/>
        <v>-1.4023926488626173</v>
      </c>
      <c r="AL48" s="1">
        <f t="shared" si="12"/>
        <v>-1.6482718413567752</v>
      </c>
      <c r="AM48" s="1">
        <f t="shared" si="13"/>
        <v>-1.4359033195667585</v>
      </c>
      <c r="AN48" s="1">
        <f t="shared" si="14"/>
        <v>-38.247803099999999</v>
      </c>
      <c r="AO48" s="1">
        <f t="shared" si="15"/>
        <v>-33.319836000000002</v>
      </c>
      <c r="AP48" s="1">
        <f t="shared" si="16"/>
        <v>1.10030402551891</v>
      </c>
      <c r="AT48" s="1">
        <v>1.6331</v>
      </c>
      <c r="AU48" s="1">
        <v>1.5097480000000001</v>
      </c>
      <c r="AV48" s="1">
        <v>-82.912689999999998</v>
      </c>
      <c r="AW48" s="1">
        <v>-126.3006</v>
      </c>
      <c r="AX48" s="1">
        <v>-1582.9390000000001</v>
      </c>
      <c r="AZ48" s="1">
        <f t="shared" si="17"/>
        <v>-1.4470994321853772</v>
      </c>
      <c r="BA48" s="1">
        <f t="shared" si="18"/>
        <v>-2.2043613172443504</v>
      </c>
      <c r="BB48" s="1">
        <f t="shared" si="19"/>
        <v>-27.627497408226517</v>
      </c>
      <c r="BC48" s="1">
        <f t="shared" si="20"/>
        <v>-51.151743000000003</v>
      </c>
      <c r="BD48" s="1">
        <f t="shared" si="21"/>
        <v>-641.09029500000008</v>
      </c>
      <c r="BE48" s="1">
        <f t="shared" si="22"/>
        <v>1.9679795708701151</v>
      </c>
    </row>
    <row r="49" spans="1:57" x14ac:dyDescent="0.3">
      <c r="A49" s="1">
        <v>1.5331440000000001</v>
      </c>
      <c r="B49" s="1">
        <v>0.419707</v>
      </c>
      <c r="C49" s="1">
        <v>-89.076589999999996</v>
      </c>
      <c r="D49" s="1">
        <v>-35.512740000000001</v>
      </c>
      <c r="E49" s="1">
        <v>-35.086370000000002</v>
      </c>
      <c r="G49" s="1">
        <f t="shared" si="1"/>
        <v>-1.5546797819490559</v>
      </c>
      <c r="H49" s="1">
        <f t="shared" si="2"/>
        <v>-0.61981423940469105</v>
      </c>
      <c r="I49" s="1">
        <f t="shared" si="3"/>
        <v>-0.61237267907296289</v>
      </c>
      <c r="J49" s="1">
        <f t="shared" si="4"/>
        <v>-0.25102476695889991</v>
      </c>
      <c r="K49" s="1">
        <f t="shared" si="0"/>
        <v>-0.24801093502454999</v>
      </c>
      <c r="L49" s="1">
        <f t="shared" si="5"/>
        <v>0.15558872500437035</v>
      </c>
      <c r="O49"/>
      <c r="P49" s="1">
        <v>1.5664439999999999</v>
      </c>
      <c r="Q49" s="1">
        <v>3.046038E-3</v>
      </c>
      <c r="R49" s="1">
        <v>-75.589340000000007</v>
      </c>
      <c r="S49" s="1">
        <v>-0.1030891</v>
      </c>
      <c r="T49" s="1">
        <v>-358.07690000000002</v>
      </c>
      <c r="U49"/>
      <c r="V49" s="1">
        <f t="shared" si="6"/>
        <v>-1.3192828624094506</v>
      </c>
      <c r="W49" s="1">
        <f t="shared" si="7"/>
        <v>-1.7992442179176865E-3</v>
      </c>
      <c r="X49" s="1">
        <f t="shared" si="8"/>
        <v>-6.2496208803344837</v>
      </c>
      <c r="Y49" s="1">
        <f t="shared" si="9"/>
        <v>-4.1751085500000007E-2</v>
      </c>
      <c r="Z49" s="1">
        <f t="shared" si="10"/>
        <v>-145.02114450000002</v>
      </c>
      <c r="AA49" s="1">
        <f>(0.405*(H49^2))</f>
        <v>0.15558872500437035</v>
      </c>
      <c r="AE49" s="1">
        <v>1.5331220000000001</v>
      </c>
      <c r="AF49" s="1">
        <v>1.131645</v>
      </c>
      <c r="AG49" s="1">
        <v>-83.644890000000004</v>
      </c>
      <c r="AH49" s="1">
        <v>-98.833119999999994</v>
      </c>
      <c r="AI49" s="1">
        <v>-168.46960000000001</v>
      </c>
      <c r="AK49" s="1">
        <f t="shared" si="11"/>
        <v>-1.4598787329684797</v>
      </c>
      <c r="AL49" s="1">
        <f t="shared" si="12"/>
        <v>-1.724963354018658</v>
      </c>
      <c r="AM49" s="1">
        <f t="shared" si="13"/>
        <v>-2.940349209517839</v>
      </c>
      <c r="AN49" s="1">
        <f t="shared" si="14"/>
        <v>-40.027413600000003</v>
      </c>
      <c r="AO49" s="1">
        <f t="shared" si="15"/>
        <v>-68.230188000000012</v>
      </c>
      <c r="AP49" s="1">
        <f t="shared" si="16"/>
        <v>1.2050769219464559</v>
      </c>
      <c r="AT49" s="1">
        <v>1.6664559999999999</v>
      </c>
      <c r="AU49" s="1">
        <v>2.0725509999999998</v>
      </c>
      <c r="AV49" s="1">
        <v>-90.151600000000002</v>
      </c>
      <c r="AW49" s="1">
        <v>-173.25960000000001</v>
      </c>
      <c r="AX49" s="1">
        <v>-434.78559999999999</v>
      </c>
      <c r="AZ49" s="1">
        <f t="shared" si="17"/>
        <v>-1.5734422459409201</v>
      </c>
      <c r="BA49" s="1">
        <f t="shared" si="18"/>
        <v>-3.0239504806883675</v>
      </c>
      <c r="BB49" s="1">
        <f t="shared" si="19"/>
        <v>-7.5884402602590573</v>
      </c>
      <c r="BC49" s="1">
        <f t="shared" si="20"/>
        <v>-70.170138000000009</v>
      </c>
      <c r="BD49" s="1">
        <f t="shared" si="21"/>
        <v>-176.088168</v>
      </c>
      <c r="BE49" s="1">
        <f t="shared" si="22"/>
        <v>3.703431986410441</v>
      </c>
    </row>
    <row r="50" spans="1:57" x14ac:dyDescent="0.3">
      <c r="A50" s="1">
        <v>1.5664439999999999</v>
      </c>
      <c r="B50" s="1">
        <v>0.43271510000000002</v>
      </c>
      <c r="C50" s="1">
        <v>-90.276179999999997</v>
      </c>
      <c r="D50" s="1">
        <v>-36.6205</v>
      </c>
      <c r="E50" s="1">
        <v>-13.71564</v>
      </c>
      <c r="G50" s="1">
        <f t="shared" si="1"/>
        <v>-1.5756165771230546</v>
      </c>
      <c r="H50" s="1">
        <f t="shared" si="2"/>
        <v>-0.63914829872658341</v>
      </c>
      <c r="I50" s="1">
        <f t="shared" si="3"/>
        <v>-0.23938307701823508</v>
      </c>
      <c r="J50" s="1">
        <f t="shared" si="4"/>
        <v>-0.25885506098426631</v>
      </c>
      <c r="K50" s="1">
        <f t="shared" si="0"/>
        <v>-9.695014619238522E-2</v>
      </c>
      <c r="L50" s="1">
        <f t="shared" si="5"/>
        <v>0.16544677184485979</v>
      </c>
      <c r="O50"/>
      <c r="P50" s="1">
        <v>1.5997889999999999</v>
      </c>
      <c r="Q50" s="1">
        <v>0.23228989999999999</v>
      </c>
      <c r="R50" s="1">
        <v>-75.577479999999994</v>
      </c>
      <c r="S50" s="1">
        <v>-19.341200000000001</v>
      </c>
      <c r="T50" s="1">
        <v>-386.32979999999998</v>
      </c>
      <c r="U50"/>
      <c r="V50" s="1">
        <f t="shared" si="6"/>
        <v>-1.3190758663601638</v>
      </c>
      <c r="W50" s="1">
        <f t="shared" si="7"/>
        <v>-0.33756762128672724</v>
      </c>
      <c r="X50" s="1">
        <f t="shared" si="8"/>
        <v>-6.7427270085711886</v>
      </c>
      <c r="Y50" s="1">
        <f t="shared" si="9"/>
        <v>-7.8331860000000004</v>
      </c>
      <c r="Z50" s="1">
        <f t="shared" si="10"/>
        <v>-156.46356900000001</v>
      </c>
      <c r="AA50" s="1">
        <f>(0.405*(H50^2))</f>
        <v>0.16544677184485979</v>
      </c>
      <c r="AE50" s="1">
        <v>1.5664439999999999</v>
      </c>
      <c r="AF50" s="1">
        <v>1.193319</v>
      </c>
      <c r="AG50" s="1">
        <v>-86.937860000000001</v>
      </c>
      <c r="AH50" s="1">
        <v>-104.2765</v>
      </c>
      <c r="AI50" s="1">
        <v>-118.3355</v>
      </c>
      <c r="AK50" s="1">
        <f t="shared" si="11"/>
        <v>-1.5173519016378774</v>
      </c>
      <c r="AL50" s="1">
        <f t="shared" si="12"/>
        <v>-1.8199682574558671</v>
      </c>
      <c r="AM50" s="1">
        <f t="shared" si="13"/>
        <v>-2.06534409699375</v>
      </c>
      <c r="AN50" s="1">
        <f t="shared" si="14"/>
        <v>-42.231982500000001</v>
      </c>
      <c r="AO50" s="1">
        <f t="shared" si="15"/>
        <v>-47.925877499999999</v>
      </c>
      <c r="AP50" s="1">
        <f t="shared" si="16"/>
        <v>1.3414752055495129</v>
      </c>
      <c r="AT50" s="1">
        <v>1.699767</v>
      </c>
      <c r="AU50" s="1">
        <v>1.5533189999999999</v>
      </c>
      <c r="AV50" s="1">
        <v>-94.463329999999999</v>
      </c>
      <c r="AW50" s="1">
        <v>-129.7867</v>
      </c>
      <c r="AX50" s="1">
        <v>734.28890000000001</v>
      </c>
      <c r="AZ50" s="1">
        <f t="shared" si="17"/>
        <v>-1.6486961308979349</v>
      </c>
      <c r="BA50" s="1">
        <f t="shared" si="18"/>
        <v>-2.2652052402981244</v>
      </c>
      <c r="BB50" s="1">
        <f t="shared" si="19"/>
        <v>12.81575896584739</v>
      </c>
      <c r="BC50" s="1">
        <f t="shared" si="20"/>
        <v>-52.563613500000002</v>
      </c>
      <c r="BD50" s="1">
        <f t="shared" si="21"/>
        <v>297.38700450000005</v>
      </c>
      <c r="BE50" s="1">
        <f t="shared" si="22"/>
        <v>2.078117686173004</v>
      </c>
    </row>
    <row r="51" spans="1:57" x14ac:dyDescent="0.3">
      <c r="A51" s="1">
        <v>1.5997779999999999</v>
      </c>
      <c r="B51" s="1">
        <v>0.43258829999999998</v>
      </c>
      <c r="C51" s="1">
        <v>-91.516739999999999</v>
      </c>
      <c r="D51" s="1">
        <v>-36.614049999999999</v>
      </c>
      <c r="E51" s="1">
        <v>10.12473</v>
      </c>
      <c r="G51" s="1">
        <f t="shared" si="1"/>
        <v>-1.5972684336915954</v>
      </c>
      <c r="H51" s="1">
        <f t="shared" si="2"/>
        <v>-0.63903572498982975</v>
      </c>
      <c r="I51" s="1">
        <f t="shared" si="3"/>
        <v>0.17670987437544547</v>
      </c>
      <c r="J51" s="1">
        <f t="shared" si="4"/>
        <v>-0.25880946862088106</v>
      </c>
      <c r="K51" s="1">
        <f t="shared" si="0"/>
        <v>7.1567499122055414E-2</v>
      </c>
      <c r="L51" s="1">
        <f t="shared" si="5"/>
        <v>0.16538849641437731</v>
      </c>
      <c r="O51"/>
      <c r="P51" s="1">
        <v>1.633111</v>
      </c>
      <c r="Q51" s="1">
        <v>0.39002100000000001</v>
      </c>
      <c r="R51" s="1">
        <v>-76.878749999999997</v>
      </c>
      <c r="S51" s="1">
        <v>-32.492829999999998</v>
      </c>
      <c r="T51" s="1">
        <v>-309.50130000000001</v>
      </c>
      <c r="U51"/>
      <c r="V51" s="1">
        <f t="shared" si="6"/>
        <v>-1.3417873123175905</v>
      </c>
      <c r="W51" s="1">
        <f t="shared" si="7"/>
        <v>-0.56710686679078903</v>
      </c>
      <c r="X51" s="1">
        <f t="shared" si="8"/>
        <v>-5.4018167242027255</v>
      </c>
      <c r="Y51" s="1">
        <f t="shared" si="9"/>
        <v>-13.15959615</v>
      </c>
      <c r="Z51" s="1">
        <f t="shared" si="10"/>
        <v>-125.34802650000002</v>
      </c>
      <c r="AA51" s="1">
        <f>(0.405*(H51^2))</f>
        <v>0.16538849641437731</v>
      </c>
      <c r="AE51" s="1">
        <v>1.5997779999999999</v>
      </c>
      <c r="AF51" s="1">
        <v>1.2411669999999999</v>
      </c>
      <c r="AG51" s="1">
        <v>-90.595500000000001</v>
      </c>
      <c r="AH51" s="1">
        <v>-108.4359</v>
      </c>
      <c r="AI51" s="1">
        <v>-1.418399</v>
      </c>
      <c r="AK51" s="1">
        <f t="shared" si="11"/>
        <v>-1.5811897624905229</v>
      </c>
      <c r="AL51" s="1">
        <f t="shared" si="12"/>
        <v>-1.8925634823633193</v>
      </c>
      <c r="AM51" s="1">
        <f t="shared" si="13"/>
        <v>-2.4755732656995051E-2</v>
      </c>
      <c r="AN51" s="1">
        <f t="shared" si="14"/>
        <v>-43.916539500000006</v>
      </c>
      <c r="AO51" s="1">
        <f t="shared" si="15"/>
        <v>-0.57445159499999998</v>
      </c>
      <c r="AP51" s="1">
        <f t="shared" si="16"/>
        <v>1.4506275965839457</v>
      </c>
      <c r="AT51" s="1">
        <v>1.7330890000000001</v>
      </c>
      <c r="AU51" s="1">
        <v>1.564041</v>
      </c>
      <c r="AV51" s="1">
        <v>-98.799719999999994</v>
      </c>
      <c r="AW51" s="1">
        <v>-130.61099999999999</v>
      </c>
      <c r="AX51" s="1">
        <v>90.026089999999996</v>
      </c>
      <c r="AZ51" s="1">
        <f t="shared" si="17"/>
        <v>-1.7243804140484917</v>
      </c>
      <c r="BA51" s="1">
        <f t="shared" si="18"/>
        <v>-2.2795919893223133</v>
      </c>
      <c r="BB51" s="1">
        <f t="shared" si="19"/>
        <v>1.5712516831967418</v>
      </c>
      <c r="BC51" s="1">
        <f t="shared" si="20"/>
        <v>-52.897455000000001</v>
      </c>
      <c r="BD51" s="1">
        <f t="shared" si="21"/>
        <v>36.460566450000002</v>
      </c>
      <c r="BE51" s="1">
        <f t="shared" si="22"/>
        <v>2.1045985533018974</v>
      </c>
    </row>
    <row r="52" spans="1:57" x14ac:dyDescent="0.3">
      <c r="A52" s="1">
        <v>1.633111</v>
      </c>
      <c r="B52" s="1">
        <v>0.42201359999999999</v>
      </c>
      <c r="C52" s="1">
        <v>-92.717119999999994</v>
      </c>
      <c r="D52" s="1">
        <v>-35.716569999999997</v>
      </c>
      <c r="E52" s="1">
        <v>41.108020000000003</v>
      </c>
      <c r="G52" s="1">
        <f t="shared" si="1"/>
        <v>-1.6182190169666848</v>
      </c>
      <c r="H52" s="1">
        <f t="shared" si="2"/>
        <v>-0.62337174401903106</v>
      </c>
      <c r="I52" s="1">
        <f t="shared" si="3"/>
        <v>0.71747029797567941</v>
      </c>
      <c r="J52" s="1">
        <f t="shared" si="4"/>
        <v>-0.25246555632770762</v>
      </c>
      <c r="K52" s="1">
        <f t="shared" si="0"/>
        <v>0.29057547068015016</v>
      </c>
      <c r="L52" s="1">
        <f t="shared" si="5"/>
        <v>0.15737989415273801</v>
      </c>
      <c r="O52"/>
      <c r="P52" s="1">
        <v>1.666444</v>
      </c>
      <c r="Q52" s="1">
        <v>0.4204927</v>
      </c>
      <c r="R52" s="1">
        <v>-77.743309999999994</v>
      </c>
      <c r="S52" s="1">
        <v>-34.122819999999997</v>
      </c>
      <c r="T52" s="1">
        <v>-164.25290000000001</v>
      </c>
      <c r="U52"/>
      <c r="V52" s="1">
        <f t="shared" si="6"/>
        <v>-1.3568767308986327</v>
      </c>
      <c r="W52" s="1">
        <f t="shared" si="7"/>
        <v>-0.59555555906537139</v>
      </c>
      <c r="X52" s="1">
        <f t="shared" si="8"/>
        <v>-2.8667539109489946</v>
      </c>
      <c r="Y52" s="1">
        <f t="shared" si="9"/>
        <v>-13.819742099999999</v>
      </c>
      <c r="Z52" s="1">
        <f t="shared" si="10"/>
        <v>-66.522424500000014</v>
      </c>
      <c r="AA52" s="1">
        <f>(0.405*(H52^2))</f>
        <v>0.15737989415273801</v>
      </c>
      <c r="AE52" s="1">
        <v>1.633111</v>
      </c>
      <c r="AF52" s="1">
        <v>1.187538</v>
      </c>
      <c r="AG52" s="1">
        <v>-94.166920000000005</v>
      </c>
      <c r="AH52" s="1">
        <v>-103.7124</v>
      </c>
      <c r="AI52" s="1">
        <v>89.160550000000001</v>
      </c>
      <c r="AK52" s="1">
        <f t="shared" si="11"/>
        <v>-1.6435228004620985</v>
      </c>
      <c r="AL52" s="1">
        <f t="shared" si="12"/>
        <v>-1.8101228551453672</v>
      </c>
      <c r="AM52" s="1">
        <f t="shared" si="13"/>
        <v>1.5561451603890302</v>
      </c>
      <c r="AN52" s="1">
        <f t="shared" si="14"/>
        <v>-42.003522000000004</v>
      </c>
      <c r="AO52" s="1">
        <f t="shared" si="15"/>
        <v>36.110022750000006</v>
      </c>
      <c r="AP52" s="1">
        <f t="shared" si="16"/>
        <v>1.3270006240414447</v>
      </c>
      <c r="AT52" s="1">
        <v>1.7664329999999999</v>
      </c>
      <c r="AU52" s="1">
        <v>1.4946159999999999</v>
      </c>
      <c r="AV52" s="1">
        <v>-103.1707</v>
      </c>
      <c r="AW52" s="1">
        <v>-124.7325</v>
      </c>
      <c r="AX52" s="1">
        <v>1259.444</v>
      </c>
      <c r="AZ52" s="1">
        <f t="shared" si="17"/>
        <v>-1.8006684065873135</v>
      </c>
      <c r="BA52" s="1">
        <f t="shared" si="18"/>
        <v>-2.1769928092438273</v>
      </c>
      <c r="BB52" s="1">
        <f t="shared" si="19"/>
        <v>21.981444544487463</v>
      </c>
      <c r="BC52" s="1">
        <f t="shared" si="20"/>
        <v>-50.516662500000002</v>
      </c>
      <c r="BD52" s="1">
        <f t="shared" si="21"/>
        <v>510.07482000000005</v>
      </c>
      <c r="BE52" s="1">
        <f t="shared" si="22"/>
        <v>1.9194155650572293</v>
      </c>
    </row>
    <row r="53" spans="1:57" x14ac:dyDescent="0.3">
      <c r="A53" s="1">
        <v>1.6664330000000001</v>
      </c>
      <c r="B53" s="1">
        <v>0.40259</v>
      </c>
      <c r="C53" s="1">
        <v>-93.897450000000006</v>
      </c>
      <c r="D53" s="1">
        <v>-34.071800000000003</v>
      </c>
      <c r="E53" s="1">
        <v>60.919060000000002</v>
      </c>
      <c r="G53" s="1">
        <f t="shared" si="1"/>
        <v>-1.6388196617267499</v>
      </c>
      <c r="H53" s="1">
        <f t="shared" si="2"/>
        <v>-0.59466509208100404</v>
      </c>
      <c r="I53" s="1">
        <f t="shared" si="3"/>
        <v>1.0632381742199768</v>
      </c>
      <c r="J53" s="1">
        <f t="shared" si="4"/>
        <v>-0.24083936229280664</v>
      </c>
      <c r="K53" s="1">
        <f t="shared" si="0"/>
        <v>0.43061146055909061</v>
      </c>
      <c r="L53" s="1">
        <f t="shared" si="5"/>
        <v>0.14321876155458216</v>
      </c>
      <c r="O53"/>
      <c r="P53" s="1">
        <v>1.699767</v>
      </c>
      <c r="Q53" s="1">
        <v>0.5588147</v>
      </c>
      <c r="R53" s="1">
        <v>-79.153229999999994</v>
      </c>
      <c r="S53" s="1">
        <v>-46.163490000000003</v>
      </c>
      <c r="T53" s="1">
        <v>-275.9221</v>
      </c>
      <c r="U53"/>
      <c r="V53" s="1">
        <f t="shared" si="6"/>
        <v>-1.381484477088351</v>
      </c>
      <c r="W53" s="1">
        <f t="shared" si="7"/>
        <v>-0.8057048947114771</v>
      </c>
      <c r="X53" s="1">
        <f t="shared" si="8"/>
        <v>-4.8157491240170458</v>
      </c>
      <c r="Y53" s="1">
        <f t="shared" si="9"/>
        <v>-18.696213450000002</v>
      </c>
      <c r="Z53" s="1">
        <f t="shared" si="10"/>
        <v>-111.7484505</v>
      </c>
      <c r="AA53" s="1">
        <f>(0.405*(H53^2))</f>
        <v>0.14321876155458216</v>
      </c>
      <c r="AE53" s="1">
        <v>1.6664330000000001</v>
      </c>
      <c r="AF53" s="1">
        <v>1.162803</v>
      </c>
      <c r="AG53" s="1">
        <v>-97.508510000000001</v>
      </c>
      <c r="AH53" s="1">
        <v>-101.5112</v>
      </c>
      <c r="AI53" s="1">
        <v>201.69730000000001</v>
      </c>
      <c r="AK53" s="1">
        <f t="shared" si="11"/>
        <v>-1.7018445482138158</v>
      </c>
      <c r="AL53" s="1">
        <f t="shared" si="12"/>
        <v>-1.771704667650468</v>
      </c>
      <c r="AM53" s="1">
        <f t="shared" si="13"/>
        <v>3.5202819773827589</v>
      </c>
      <c r="AN53" s="1">
        <f t="shared" si="14"/>
        <v>-41.112036000000003</v>
      </c>
      <c r="AO53" s="1">
        <f t="shared" si="15"/>
        <v>81.687406500000009</v>
      </c>
      <c r="AP53" s="1">
        <f t="shared" si="16"/>
        <v>1.2712696588966543</v>
      </c>
      <c r="AT53" s="1">
        <v>1.7997559999999999</v>
      </c>
      <c r="AU53" s="1">
        <v>0.64739080000000004</v>
      </c>
      <c r="AV53" s="1">
        <v>-107.1152</v>
      </c>
      <c r="AW53" s="1">
        <v>-53.987029999999997</v>
      </c>
      <c r="AX53" s="1">
        <v>1765.43</v>
      </c>
      <c r="AZ53" s="1">
        <f t="shared" si="17"/>
        <v>-1.8695129189322301</v>
      </c>
      <c r="BA53" s="1">
        <f t="shared" si="18"/>
        <v>-0.94225142687295416</v>
      </c>
      <c r="BB53" s="1">
        <f t="shared" si="19"/>
        <v>30.812566213483493</v>
      </c>
      <c r="BC53" s="1">
        <f t="shared" si="20"/>
        <v>-21.864747149999999</v>
      </c>
      <c r="BD53" s="1">
        <f t="shared" si="21"/>
        <v>714.9991500000001</v>
      </c>
      <c r="BE53" s="1">
        <f t="shared" si="22"/>
        <v>0.35957428933486785</v>
      </c>
    </row>
    <row r="54" spans="1:57" x14ac:dyDescent="0.3">
      <c r="A54" s="1">
        <v>1.699767</v>
      </c>
      <c r="B54" s="1">
        <v>0.3720482</v>
      </c>
      <c r="C54" s="1">
        <v>-94.988190000000003</v>
      </c>
      <c r="D54" s="1">
        <v>-31.479869999999998</v>
      </c>
      <c r="E54" s="1">
        <v>72.838980000000006</v>
      </c>
      <c r="G54" s="1">
        <f t="shared" si="1"/>
        <v>-1.6578566660099523</v>
      </c>
      <c r="H54" s="1">
        <f t="shared" si="2"/>
        <v>-0.54942737959978727</v>
      </c>
      <c r="I54" s="1">
        <f t="shared" si="3"/>
        <v>1.2712800247942995</v>
      </c>
      <c r="J54" s="1">
        <f t="shared" si="4"/>
        <v>-0.22251808873791387</v>
      </c>
      <c r="K54" s="1">
        <f t="shared" si="0"/>
        <v>0.51486841004169137</v>
      </c>
      <c r="L54" s="1">
        <f t="shared" si="5"/>
        <v>0.12225753040882495</v>
      </c>
      <c r="O54"/>
      <c r="P54" s="1">
        <v>1.7331000000000001</v>
      </c>
      <c r="Q54" s="1">
        <v>0.62010169999999998</v>
      </c>
      <c r="R54" s="1">
        <v>-80.820369999999997</v>
      </c>
      <c r="S54" s="1">
        <v>-52.145090000000003</v>
      </c>
      <c r="T54" s="1">
        <v>-194.73609999999999</v>
      </c>
      <c r="U54"/>
      <c r="V54" s="1">
        <f t="shared" si="6"/>
        <v>-1.4105815591800495</v>
      </c>
      <c r="W54" s="1">
        <f t="shared" si="7"/>
        <v>-0.91010350924876993</v>
      </c>
      <c r="X54" s="1">
        <f t="shared" si="8"/>
        <v>-3.3987861174929295</v>
      </c>
      <c r="Y54" s="1">
        <f t="shared" si="9"/>
        <v>-21.118761450000004</v>
      </c>
      <c r="Z54" s="1">
        <f t="shared" si="10"/>
        <v>-78.868120500000003</v>
      </c>
      <c r="AA54" s="1">
        <f>(0.405*(H54^2))</f>
        <v>0.12225753040882495</v>
      </c>
      <c r="AE54" s="1">
        <v>1.699778</v>
      </c>
      <c r="AF54" s="1">
        <v>1.061242</v>
      </c>
      <c r="AG54" s="1">
        <v>-100.93429999999999</v>
      </c>
      <c r="AH54" s="1">
        <v>-92.580479999999994</v>
      </c>
      <c r="AI54" s="1">
        <v>313.76060000000001</v>
      </c>
      <c r="AK54" s="1">
        <f t="shared" si="11"/>
        <v>-1.7616358631957123</v>
      </c>
      <c r="AL54" s="1">
        <f t="shared" si="12"/>
        <v>-1.6158341990767597</v>
      </c>
      <c r="AM54" s="1">
        <f t="shared" si="13"/>
        <v>5.4761555330329204</v>
      </c>
      <c r="AN54" s="1">
        <f t="shared" si="14"/>
        <v>-37.495094399999999</v>
      </c>
      <c r="AO54" s="1">
        <f t="shared" si="15"/>
        <v>127.07304300000001</v>
      </c>
      <c r="AP54" s="1">
        <f t="shared" si="16"/>
        <v>1.0574226643569438</v>
      </c>
      <c r="AT54" s="1">
        <v>1.833078</v>
      </c>
      <c r="AU54" s="1">
        <v>0.1248716</v>
      </c>
      <c r="AV54" s="1">
        <v>-106.7687</v>
      </c>
      <c r="AW54" s="1">
        <v>10.40287</v>
      </c>
      <c r="AX54" s="1">
        <v>1104.075</v>
      </c>
      <c r="AZ54" s="1">
        <f t="shared" si="17"/>
        <v>-1.8634653530740697</v>
      </c>
      <c r="BA54" s="1">
        <f t="shared" si="18"/>
        <v>0.18156433315694251</v>
      </c>
      <c r="BB54" s="1">
        <f t="shared" si="19"/>
        <v>19.269743938956395</v>
      </c>
      <c r="BC54" s="1">
        <f t="shared" si="20"/>
        <v>4.2131623500000002</v>
      </c>
      <c r="BD54" s="1">
        <f t="shared" si="21"/>
        <v>447.15037500000005</v>
      </c>
      <c r="BE54" s="1">
        <f t="shared" si="22"/>
        <v>1.3351070865263713E-2</v>
      </c>
    </row>
    <row r="55" spans="1:57" x14ac:dyDescent="0.3">
      <c r="A55" s="1">
        <v>1.7331110000000001</v>
      </c>
      <c r="B55" s="1">
        <v>0.34510069999999998</v>
      </c>
      <c r="C55" s="1">
        <v>-95.996449999999996</v>
      </c>
      <c r="D55" s="1">
        <v>-29.20486</v>
      </c>
      <c r="E55" s="1">
        <v>114.18640000000001</v>
      </c>
      <c r="G55" s="1">
        <f t="shared" si="1"/>
        <v>-1.6754541227261106</v>
      </c>
      <c r="H55" s="1">
        <f t="shared" si="2"/>
        <v>-0.50972096458399119</v>
      </c>
      <c r="I55" s="1">
        <f t="shared" si="3"/>
        <v>1.992928640999253</v>
      </c>
      <c r="J55" s="1">
        <f t="shared" si="4"/>
        <v>-0.20643699065651644</v>
      </c>
      <c r="K55" s="1">
        <f t="shared" si="0"/>
        <v>0.80713609960469757</v>
      </c>
      <c r="L55" s="1">
        <f t="shared" si="5"/>
        <v>0.10522526200325594</v>
      </c>
      <c r="O55"/>
      <c r="P55" s="1">
        <v>1.7664219999999999</v>
      </c>
      <c r="Q55" s="1">
        <v>0.69706749999999995</v>
      </c>
      <c r="R55" s="1">
        <v>-82.628990000000002</v>
      </c>
      <c r="S55" s="1">
        <v>-58.582509999999999</v>
      </c>
      <c r="T55" s="1">
        <v>-80.699039999999997</v>
      </c>
      <c r="U55"/>
      <c r="V55" s="1">
        <f t="shared" si="6"/>
        <v>-1.4421479330974694</v>
      </c>
      <c r="W55" s="1">
        <f t="shared" si="7"/>
        <v>-1.0224576835825032</v>
      </c>
      <c r="X55" s="1">
        <f t="shared" si="8"/>
        <v>-1.4084639511986046</v>
      </c>
      <c r="Y55" s="1">
        <f t="shared" si="9"/>
        <v>-23.725916550000001</v>
      </c>
      <c r="Z55" s="1">
        <f t="shared" si="10"/>
        <v>-32.683111199999999</v>
      </c>
      <c r="AA55" s="1">
        <f>(0.405*(H55^2))</f>
        <v>0.10522526200325594</v>
      </c>
      <c r="AE55" s="1">
        <v>1.7330890000000001</v>
      </c>
      <c r="AF55" s="1">
        <v>0.89611300000000005</v>
      </c>
      <c r="AG55" s="1">
        <v>-103.6795</v>
      </c>
      <c r="AH55" s="1">
        <v>-78.135909999999996</v>
      </c>
      <c r="AI55" s="1">
        <v>361.46870000000001</v>
      </c>
      <c r="AK55" s="1">
        <f t="shared" si="11"/>
        <v>-1.809548641821461</v>
      </c>
      <c r="AL55" s="1">
        <f t="shared" si="12"/>
        <v>-1.3637288935419625</v>
      </c>
      <c r="AM55" s="1">
        <f t="shared" si="13"/>
        <v>6.3088189579036271</v>
      </c>
      <c r="AN55" s="1">
        <f t="shared" si="14"/>
        <v>-31.64504355</v>
      </c>
      <c r="AO55" s="1">
        <f t="shared" si="15"/>
        <v>146.3948235</v>
      </c>
      <c r="AP55" s="1">
        <f t="shared" si="16"/>
        <v>0.75320138050787999</v>
      </c>
      <c r="AT55" s="1">
        <v>1.8664000000000001</v>
      </c>
      <c r="AU55" s="1">
        <v>0.1248507</v>
      </c>
      <c r="AV55" s="1">
        <v>-106.42189999999999</v>
      </c>
      <c r="AW55" s="1">
        <v>10.406230000000001</v>
      </c>
      <c r="AX55" s="1">
        <v>0.1412822</v>
      </c>
      <c r="AZ55" s="1">
        <f t="shared" si="17"/>
        <v>-1.8574125512281534</v>
      </c>
      <c r="BA55" s="1">
        <f t="shared" si="18"/>
        <v>0.18162297621980952</v>
      </c>
      <c r="BB55" s="1">
        <f t="shared" si="19"/>
        <v>2.4658395644611328E-3</v>
      </c>
      <c r="BC55" s="1">
        <f t="shared" si="20"/>
        <v>4.2145231500000007</v>
      </c>
      <c r="BD55" s="1">
        <f t="shared" si="21"/>
        <v>5.7219291000000005E-2</v>
      </c>
      <c r="BE55" s="1">
        <f t="shared" si="22"/>
        <v>1.3359696723831305E-2</v>
      </c>
    </row>
    <row r="56" spans="1:57" x14ac:dyDescent="0.3">
      <c r="A56" s="1">
        <v>1.7664219999999999</v>
      </c>
      <c r="B56" s="1">
        <v>0.28738859999999999</v>
      </c>
      <c r="C56" s="1">
        <v>-96.93486</v>
      </c>
      <c r="D56" s="1">
        <v>-24.31466</v>
      </c>
      <c r="E56" s="1">
        <v>458.95859999999999</v>
      </c>
      <c r="G56" s="1">
        <f t="shared" si="1"/>
        <v>-1.6918324669597504</v>
      </c>
      <c r="H56" s="1">
        <f t="shared" si="2"/>
        <v>-0.42437087350296449</v>
      </c>
      <c r="I56" s="1">
        <f t="shared" si="3"/>
        <v>8.0103387003436453</v>
      </c>
      <c r="J56" s="1">
        <f t="shared" si="4"/>
        <v>-0.17187020376870063</v>
      </c>
      <c r="K56" s="1">
        <f t="shared" si="0"/>
        <v>3.2441871736391765</v>
      </c>
      <c r="L56" s="1">
        <f t="shared" si="5"/>
        <v>7.2936708502455982E-2</v>
      </c>
      <c r="O56"/>
      <c r="P56" s="1">
        <v>1.7997559999999999</v>
      </c>
      <c r="Q56" s="1">
        <v>0.7027177</v>
      </c>
      <c r="R56" s="1">
        <v>-84.725219999999993</v>
      </c>
      <c r="S56" s="1">
        <v>-59.009160000000001</v>
      </c>
      <c r="T56" s="1">
        <v>-63.242579999999997</v>
      </c>
      <c r="U56"/>
      <c r="V56" s="1">
        <f t="shared" si="6"/>
        <v>-1.4787340484765499</v>
      </c>
      <c r="W56" s="1">
        <f t="shared" si="7"/>
        <v>-1.029904130836137</v>
      </c>
      <c r="X56" s="1">
        <f t="shared" si="8"/>
        <v>-1.1037912484559154</v>
      </c>
      <c r="Y56" s="1">
        <f t="shared" si="9"/>
        <v>-23.898709800000002</v>
      </c>
      <c r="Z56" s="1">
        <f t="shared" si="10"/>
        <v>-25.613244900000002</v>
      </c>
      <c r="AA56" s="1">
        <f>(0.405*(H56^2))</f>
        <v>7.2936708502455982E-2</v>
      </c>
      <c r="AE56" s="1">
        <v>1.7664219999999999</v>
      </c>
      <c r="AF56" s="1">
        <v>0.79609929999999995</v>
      </c>
      <c r="AG56" s="1">
        <v>-106.1417</v>
      </c>
      <c r="AH56" s="1">
        <v>-69.375140000000002</v>
      </c>
      <c r="AI56" s="1">
        <v>765.1123</v>
      </c>
      <c r="AK56" s="1">
        <f t="shared" si="11"/>
        <v>-1.8525221386640651</v>
      </c>
      <c r="AL56" s="1">
        <f t="shared" si="12"/>
        <v>-1.210824612032019</v>
      </c>
      <c r="AM56" s="1">
        <f t="shared" si="13"/>
        <v>13.353728782506611</v>
      </c>
      <c r="AN56" s="1">
        <f t="shared" si="14"/>
        <v>-28.096931700000003</v>
      </c>
      <c r="AO56" s="1">
        <f t="shared" si="15"/>
        <v>309.87048150000004</v>
      </c>
      <c r="AP56" s="1">
        <f t="shared" si="16"/>
        <v>0.59376897764650816</v>
      </c>
      <c r="AT56" s="1">
        <v>1.8997329999999999</v>
      </c>
      <c r="AU56" s="1">
        <v>0.1247675</v>
      </c>
      <c r="AV56" s="1">
        <v>-106.075</v>
      </c>
      <c r="AW56" s="1">
        <v>10.40362</v>
      </c>
      <c r="AX56" s="1">
        <v>0.11854149999999999</v>
      </c>
      <c r="AZ56" s="1">
        <f t="shared" si="17"/>
        <v>-1.8513580040529851</v>
      </c>
      <c r="BA56" s="1">
        <f t="shared" si="18"/>
        <v>0.18157742312633246</v>
      </c>
      <c r="BB56" s="1">
        <f t="shared" si="19"/>
        <v>2.068939475252858E-3</v>
      </c>
      <c r="BC56" s="1">
        <f t="shared" si="20"/>
        <v>4.2134661000000007</v>
      </c>
      <c r="BD56" s="1">
        <f t="shared" si="21"/>
        <v>4.8009307500000001E-2</v>
      </c>
      <c r="BE56" s="1">
        <f t="shared" si="22"/>
        <v>1.3352996038625666E-2</v>
      </c>
    </row>
    <row r="57" spans="1:57" x14ac:dyDescent="0.3">
      <c r="A57" s="1">
        <v>1.799744</v>
      </c>
      <c r="B57" s="1">
        <v>2.0230169999999999E-2</v>
      </c>
      <c r="C57" s="1">
        <v>-97.616619999999998</v>
      </c>
      <c r="D57" s="1">
        <v>-0.51162430000000003</v>
      </c>
      <c r="E57" s="1">
        <v>960.11580000000004</v>
      </c>
      <c r="G57" s="1">
        <f t="shared" si="1"/>
        <v>-1.7037314236681469</v>
      </c>
      <c r="H57" s="1">
        <f t="shared" si="2"/>
        <v>-8.9295285682112254E-3</v>
      </c>
      <c r="I57" s="1">
        <f t="shared" si="3"/>
        <v>16.757181910419373</v>
      </c>
      <c r="J57" s="1">
        <f t="shared" si="4"/>
        <v>-3.6164590701255467E-3</v>
      </c>
      <c r="K57" s="1">
        <f t="shared" si="0"/>
        <v>6.7866586737198462</v>
      </c>
      <c r="L57" s="1">
        <f t="shared" si="5"/>
        <v>3.2293274582452672E-5</v>
      </c>
      <c r="O57"/>
      <c r="P57" s="1">
        <v>1.833078</v>
      </c>
      <c r="Q57" s="1">
        <v>0.71833389999999997</v>
      </c>
      <c r="R57" s="1">
        <v>-86.562280000000001</v>
      </c>
      <c r="S57" s="1">
        <v>-60.336410000000001</v>
      </c>
      <c r="T57" s="1">
        <v>-69.839370000000002</v>
      </c>
      <c r="U57"/>
      <c r="V57" s="1">
        <f t="shared" si="6"/>
        <v>-1.5107967940332372</v>
      </c>
      <c r="W57" s="1">
        <f t="shared" si="7"/>
        <v>-1.0530690133332319</v>
      </c>
      <c r="X57" s="1">
        <f t="shared" si="8"/>
        <v>-1.2189269540185523</v>
      </c>
      <c r="Y57" s="1">
        <f t="shared" si="9"/>
        <v>-24.436246050000001</v>
      </c>
      <c r="Z57" s="1">
        <f t="shared" si="10"/>
        <v>-28.284944850000002</v>
      </c>
      <c r="AA57" s="1">
        <f>(0.405*(H57^2))</f>
        <v>3.2293274582452672E-5</v>
      </c>
      <c r="AE57" s="1">
        <v>1.799744</v>
      </c>
      <c r="AF57" s="1">
        <v>0.35886780000000001</v>
      </c>
      <c r="AG57" s="1">
        <v>-108.3038</v>
      </c>
      <c r="AH57" s="1">
        <v>-31.255520000000001</v>
      </c>
      <c r="AI57" s="1">
        <v>941.78309999999999</v>
      </c>
      <c r="AK57" s="1">
        <f t="shared" si="11"/>
        <v>-1.8902579024214345</v>
      </c>
      <c r="AL57" s="1">
        <f t="shared" si="12"/>
        <v>-0.54551173342293802</v>
      </c>
      <c r="AM57" s="1">
        <f t="shared" si="13"/>
        <v>16.43721593463901</v>
      </c>
      <c r="AN57" s="1">
        <f t="shared" si="14"/>
        <v>-12.658485600000001</v>
      </c>
      <c r="AO57" s="1">
        <f t="shared" si="15"/>
        <v>381.42215550000003</v>
      </c>
      <c r="AP57" s="1">
        <f t="shared" si="16"/>
        <v>0.12052113577734995</v>
      </c>
      <c r="AT57" s="1">
        <v>1.9331</v>
      </c>
      <c r="AU57" s="1">
        <v>0.1248507</v>
      </c>
      <c r="AV57" s="1">
        <v>-105.72799999999999</v>
      </c>
      <c r="AW57" s="1">
        <v>10.41413</v>
      </c>
      <c r="AX57" s="1">
        <v>9.5662129999999998E-2</v>
      </c>
      <c r="AZ57" s="1">
        <f t="shared" si="17"/>
        <v>-1.8453017115485646</v>
      </c>
      <c r="BA57" s="1">
        <f t="shared" si="18"/>
        <v>0.18176085723071705</v>
      </c>
      <c r="BB57" s="1">
        <f t="shared" si="19"/>
        <v>1.6696191379708431E-3</v>
      </c>
      <c r="BC57" s="1">
        <f t="shared" si="20"/>
        <v>4.2177226500000007</v>
      </c>
      <c r="BD57" s="1">
        <f t="shared" si="21"/>
        <v>3.8743162650000003E-2</v>
      </c>
      <c r="BE57" s="1">
        <f t="shared" si="22"/>
        <v>1.3379988734604269E-2</v>
      </c>
    </row>
    <row r="58" spans="1:57" x14ac:dyDescent="0.3">
      <c r="A58" s="1">
        <v>1.833078</v>
      </c>
      <c r="B58" s="1">
        <v>0.49209520000000001</v>
      </c>
      <c r="C58" s="1">
        <v>-96.968959999999996</v>
      </c>
      <c r="D58" s="1">
        <v>41.644559999999998</v>
      </c>
      <c r="E58" s="1">
        <v>322.48050000000001</v>
      </c>
      <c r="G58" s="1">
        <f t="shared" si="1"/>
        <v>-1.6924276242346805</v>
      </c>
      <c r="H58" s="1">
        <f t="shared" si="2"/>
        <v>0.72683468754432978</v>
      </c>
      <c r="I58" s="1">
        <f t="shared" si="3"/>
        <v>5.6283464984775735</v>
      </c>
      <c r="J58" s="1">
        <f t="shared" si="4"/>
        <v>0.29436804845545356</v>
      </c>
      <c r="K58" s="1">
        <f t="shared" si="0"/>
        <v>2.2794803318834176</v>
      </c>
      <c r="L58" s="1">
        <f t="shared" si="5"/>
        <v>0.21395690852215374</v>
      </c>
      <c r="O58"/>
      <c r="P58" s="1">
        <v>1.8664000000000001</v>
      </c>
      <c r="Q58" s="1">
        <v>0.77644150000000001</v>
      </c>
      <c r="R58" s="1">
        <v>-88.746300000000005</v>
      </c>
      <c r="S58" s="1">
        <v>-65.685119999999998</v>
      </c>
      <c r="T58" s="1">
        <v>-52.241860000000003</v>
      </c>
      <c r="U58"/>
      <c r="V58" s="1">
        <f t="shared" si="6"/>
        <v>-1.5489151339626437</v>
      </c>
      <c r="W58" s="1">
        <f t="shared" si="7"/>
        <v>-1.1464216135675778</v>
      </c>
      <c r="X58" s="1">
        <f t="shared" si="8"/>
        <v>-0.91179246436592487</v>
      </c>
      <c r="Y58" s="1">
        <f t="shared" si="9"/>
        <v>-26.6024736</v>
      </c>
      <c r="Z58" s="1">
        <f t="shared" si="10"/>
        <v>-21.157953300000003</v>
      </c>
      <c r="AA58" s="1">
        <f>(0.405*(H58^2))</f>
        <v>0.21395690852215374</v>
      </c>
      <c r="AE58" s="1">
        <v>1.833078</v>
      </c>
      <c r="AF58" s="1">
        <v>2.7510610000000001E-2</v>
      </c>
      <c r="AG58" s="1">
        <v>-108.22499999999999</v>
      </c>
      <c r="AH58" s="1">
        <v>2.3621750000000001</v>
      </c>
      <c r="AI58" s="1">
        <v>576.19320000000005</v>
      </c>
      <c r="AK58" s="1">
        <f t="shared" si="11"/>
        <v>-1.8888825829708629</v>
      </c>
      <c r="AL58" s="1">
        <f t="shared" si="12"/>
        <v>4.1227731258297054E-2</v>
      </c>
      <c r="AM58" s="1">
        <f t="shared" si="13"/>
        <v>10.056468467602192</v>
      </c>
      <c r="AN58" s="1">
        <f t="shared" si="14"/>
        <v>0.9566808750000001</v>
      </c>
      <c r="AO58" s="1">
        <f t="shared" si="15"/>
        <v>233.35824600000004</v>
      </c>
      <c r="AP58" s="1">
        <f t="shared" si="16"/>
        <v>6.8838895900607741E-4</v>
      </c>
      <c r="AT58" s="1">
        <v>1.9663889999999999</v>
      </c>
      <c r="AU58" s="1">
        <v>0.1249132</v>
      </c>
      <c r="AV58" s="1">
        <v>-105.3809</v>
      </c>
      <c r="AW58" s="1">
        <v>10.42215</v>
      </c>
      <c r="AX58" s="1">
        <v>7.2748309999999997E-2</v>
      </c>
      <c r="AZ58" s="1">
        <f t="shared" si="17"/>
        <v>-1.8392436737148923</v>
      </c>
      <c r="BA58" s="1">
        <f t="shared" si="18"/>
        <v>0.18190083263672699</v>
      </c>
      <c r="BB58" s="1">
        <f t="shared" si="19"/>
        <v>1.2696975347615161E-3</v>
      </c>
      <c r="BC58" s="1">
        <f t="shared" si="20"/>
        <v>4.2209707500000002</v>
      </c>
      <c r="BD58" s="1">
        <f t="shared" si="21"/>
        <v>2.946306555E-2</v>
      </c>
      <c r="BE58" s="1">
        <f t="shared" si="22"/>
        <v>1.3400604730143499E-2</v>
      </c>
    </row>
    <row r="59" spans="1:57" x14ac:dyDescent="0.3">
      <c r="A59" s="1">
        <v>1.8664000000000001</v>
      </c>
      <c r="B59" s="1">
        <v>0.34744219999999998</v>
      </c>
      <c r="C59" s="1">
        <v>-94.840779999999995</v>
      </c>
      <c r="D59" s="1">
        <v>29.402329999999999</v>
      </c>
      <c r="E59" s="1">
        <v>-461.8553</v>
      </c>
      <c r="G59" s="1">
        <f t="shared" si="1"/>
        <v>-1.6552838761595874</v>
      </c>
      <c r="H59" s="1">
        <f t="shared" si="2"/>
        <v>0.51316746625790433</v>
      </c>
      <c r="I59" s="1">
        <f t="shared" si="3"/>
        <v>-8.0608956527861668</v>
      </c>
      <c r="J59" s="1">
        <f t="shared" si="4"/>
        <v>0.20783282383445126</v>
      </c>
      <c r="K59" s="1">
        <f t="shared" si="0"/>
        <v>-3.2646627393783976</v>
      </c>
      <c r="L59" s="1">
        <f t="shared" si="5"/>
        <v>0.10665304361235074</v>
      </c>
      <c r="O59"/>
      <c r="P59" s="1">
        <v>1.8997329999999999</v>
      </c>
      <c r="Q59" s="1">
        <v>0.75022350000000004</v>
      </c>
      <c r="R59" s="1">
        <v>-90.940550000000002</v>
      </c>
      <c r="S59" s="1">
        <v>-63.449480000000001</v>
      </c>
      <c r="T59" s="1">
        <v>59.002650000000003</v>
      </c>
      <c r="U59"/>
      <c r="V59" s="1">
        <f t="shared" si="6"/>
        <v>-1.5872120210745293</v>
      </c>
      <c r="W59" s="1">
        <f t="shared" si="7"/>
        <v>-1.1074023346782917</v>
      </c>
      <c r="X59" s="1">
        <f t="shared" si="8"/>
        <v>1.0297905099018323</v>
      </c>
      <c r="Y59" s="1">
        <f t="shared" si="9"/>
        <v>-25.697039400000001</v>
      </c>
      <c r="Z59" s="1">
        <f t="shared" si="10"/>
        <v>23.896073250000004</v>
      </c>
      <c r="AA59" s="1">
        <f>(0.405*(H59^2))</f>
        <v>0.10665304361235074</v>
      </c>
      <c r="AE59" s="1">
        <v>1.8664000000000001</v>
      </c>
      <c r="AF59" s="1">
        <v>2.7501439999999999E-2</v>
      </c>
      <c r="AG59" s="1">
        <v>-108.1463</v>
      </c>
      <c r="AH59" s="1">
        <v>2.36029</v>
      </c>
      <c r="AI59" s="1">
        <v>-3.3055929999999997E-2</v>
      </c>
      <c r="AK59" s="1">
        <f t="shared" si="11"/>
        <v>-1.8875090088495436</v>
      </c>
      <c r="AL59" s="1">
        <f t="shared" si="12"/>
        <v>4.119483180189696E-2</v>
      </c>
      <c r="AM59" s="1">
        <f t="shared" si="13"/>
        <v>-5.7693481580876904E-4</v>
      </c>
      <c r="AN59" s="1">
        <f t="shared" si="14"/>
        <v>0.95591745000000006</v>
      </c>
      <c r="AO59" s="1">
        <f t="shared" si="15"/>
        <v>-1.338765165E-2</v>
      </c>
      <c r="AP59" s="1">
        <f t="shared" si="16"/>
        <v>6.8729073771056539E-4</v>
      </c>
      <c r="AT59" s="1">
        <v>1.999722</v>
      </c>
      <c r="AU59" s="1">
        <v>0.12480910000000001</v>
      </c>
      <c r="AV59" s="1">
        <v>-105.0337</v>
      </c>
      <c r="AW59" s="1">
        <v>10.415509999999999</v>
      </c>
      <c r="AX59" s="1">
        <v>4.9835009999999999E-2</v>
      </c>
      <c r="AZ59" s="1">
        <f t="shared" si="17"/>
        <v>-1.8331838905519682</v>
      </c>
      <c r="BA59" s="1">
        <f t="shared" si="18"/>
        <v>0.18178494277439455</v>
      </c>
      <c r="BB59" s="1">
        <f t="shared" si="19"/>
        <v>8.6978500726429928E-4</v>
      </c>
      <c r="BC59" s="1">
        <f t="shared" si="20"/>
        <v>4.2182815500000004</v>
      </c>
      <c r="BD59" s="1">
        <f t="shared" si="21"/>
        <v>2.018317905E-2</v>
      </c>
      <c r="BE59" s="1">
        <f t="shared" si="22"/>
        <v>1.3383534994893413E-2</v>
      </c>
    </row>
    <row r="60" spans="1:57" x14ac:dyDescent="0.3">
      <c r="A60" s="1">
        <v>1.8997329999999999</v>
      </c>
      <c r="B60" s="1">
        <v>3.046712E-2</v>
      </c>
      <c r="C60" s="1">
        <v>-95.009129999999999</v>
      </c>
      <c r="D60" s="1">
        <v>-2.5315650000000001</v>
      </c>
      <c r="E60" s="1">
        <v>-472.76339999999999</v>
      </c>
      <c r="G60" s="1">
        <f t="shared" si="1"/>
        <v>-1.6582221379553201</v>
      </c>
      <c r="H60" s="1">
        <f t="shared" si="2"/>
        <v>-4.4184144478250247E-2</v>
      </c>
      <c r="I60" s="1">
        <f t="shared" si="3"/>
        <v>-8.2512779129229603</v>
      </c>
      <c r="J60" s="1">
        <f t="shared" si="4"/>
        <v>-1.7894578513691351E-2</v>
      </c>
      <c r="K60" s="1">
        <f t="shared" si="0"/>
        <v>-3.3417675547337993</v>
      </c>
      <c r="L60" s="1">
        <f t="shared" si="5"/>
        <v>7.9065664242633125E-4</v>
      </c>
      <c r="O60"/>
      <c r="P60" s="1">
        <v>1.9330560000000001</v>
      </c>
      <c r="Q60" s="1">
        <v>0.72167130000000002</v>
      </c>
      <c r="R60" s="1">
        <v>-92.975560000000002</v>
      </c>
      <c r="S60" s="1">
        <v>-61.038600000000002</v>
      </c>
      <c r="T60" s="1">
        <v>131.328</v>
      </c>
      <c r="U60"/>
      <c r="V60" s="1">
        <f t="shared" si="6"/>
        <v>-1.6227296458855391</v>
      </c>
      <c r="W60" s="1">
        <f t="shared" si="7"/>
        <v>-1.0653245408078109</v>
      </c>
      <c r="X60" s="1">
        <f t="shared" si="8"/>
        <v>2.2921060000591131</v>
      </c>
      <c r="Y60" s="1">
        <f t="shared" si="9"/>
        <v>-24.720633000000003</v>
      </c>
      <c r="Z60" s="1">
        <f t="shared" si="10"/>
        <v>53.187840000000001</v>
      </c>
      <c r="AA60" s="1">
        <f>(0.405*(H60^2))</f>
        <v>7.9065664242633125E-4</v>
      </c>
      <c r="AE60" s="1">
        <v>1.899756</v>
      </c>
      <c r="AF60" s="1">
        <v>2.7492280000000001E-2</v>
      </c>
      <c r="AG60" s="1">
        <v>-108.0676</v>
      </c>
      <c r="AH60" s="1">
        <v>2.3583980000000002</v>
      </c>
      <c r="AI60" s="1">
        <v>-3.3316140000000001E-2</v>
      </c>
      <c r="AK60" s="1">
        <f t="shared" si="11"/>
        <v>-1.886135434728224</v>
      </c>
      <c r="AL60" s="1">
        <f t="shared" si="12"/>
        <v>4.1161810172449229E-2</v>
      </c>
      <c r="AM60" s="1">
        <f t="shared" si="13"/>
        <v>-5.8147633705538364E-4</v>
      </c>
      <c r="AN60" s="1">
        <f t="shared" si="14"/>
        <v>0.95515119000000015</v>
      </c>
      <c r="AO60" s="1">
        <f t="shared" si="15"/>
        <v>-1.3493036700000001E-2</v>
      </c>
      <c r="AP60" s="1">
        <f t="shared" si="16"/>
        <v>6.8618931975246173E-4</v>
      </c>
      <c r="AT60" s="1">
        <v>2.033067</v>
      </c>
      <c r="AU60" s="1">
        <v>0.1247883</v>
      </c>
      <c r="AV60" s="1">
        <v>-104.68640000000001</v>
      </c>
      <c r="AW60" s="1">
        <v>10.415050000000001</v>
      </c>
      <c r="AX60" s="1">
        <v>2.68755E-2</v>
      </c>
      <c r="AZ60" s="1">
        <f t="shared" si="17"/>
        <v>-1.8271223620597918</v>
      </c>
      <c r="BA60" s="1">
        <f t="shared" si="18"/>
        <v>0.18177691425983541</v>
      </c>
      <c r="BB60" s="1">
        <f t="shared" si="19"/>
        <v>4.6906596311973605E-4</v>
      </c>
      <c r="BC60" s="1">
        <f t="shared" si="20"/>
        <v>4.2180952500000002</v>
      </c>
      <c r="BD60" s="1">
        <f t="shared" si="21"/>
        <v>1.0884577500000001E-2</v>
      </c>
      <c r="BE60" s="1">
        <f t="shared" si="22"/>
        <v>1.3382352855920161E-2</v>
      </c>
    </row>
    <row r="61" spans="1:57" x14ac:dyDescent="0.3">
      <c r="A61" s="1">
        <v>1.9330890000000001</v>
      </c>
      <c r="B61" s="1">
        <v>3.6416049999999998E-2</v>
      </c>
      <c r="C61" s="1">
        <v>-95.009609999999995</v>
      </c>
      <c r="D61" s="1">
        <v>3.062789</v>
      </c>
      <c r="E61" s="1">
        <v>141.89259999999999</v>
      </c>
      <c r="G61" s="1">
        <f t="shared" si="1"/>
        <v>-1.6582305155357295</v>
      </c>
      <c r="H61" s="1">
        <f t="shared" si="2"/>
        <v>5.3455752343864599E-2</v>
      </c>
      <c r="I61" s="1">
        <f t="shared" si="3"/>
        <v>2.4764930542153061</v>
      </c>
      <c r="J61" s="1">
        <f t="shared" si="4"/>
        <v>2.1649579699265165E-2</v>
      </c>
      <c r="K61" s="1">
        <f t="shared" si="0"/>
        <v>1.002979686957199</v>
      </c>
      <c r="L61" s="1">
        <f t="shared" si="5"/>
        <v>1.1572945707526772E-3</v>
      </c>
      <c r="O61"/>
      <c r="P61" s="1">
        <v>1.9663999999999999</v>
      </c>
      <c r="Q61" s="1">
        <v>0.65919419999999995</v>
      </c>
      <c r="R61" s="1">
        <v>-95.009789999999995</v>
      </c>
      <c r="S61" s="1">
        <v>-55.784129999999998</v>
      </c>
      <c r="T61" s="1">
        <v>134.85239999999999</v>
      </c>
      <c r="U61"/>
      <c r="V61" s="1">
        <f t="shared" si="6"/>
        <v>-1.6582336571283833</v>
      </c>
      <c r="W61" s="1">
        <f t="shared" si="7"/>
        <v>-0.97361673886054434</v>
      </c>
      <c r="X61" s="1">
        <f t="shared" si="8"/>
        <v>2.3536183842164009</v>
      </c>
      <c r="Y61" s="1">
        <f t="shared" si="9"/>
        <v>-22.592572650000001</v>
      </c>
      <c r="Z61" s="1">
        <f t="shared" si="10"/>
        <v>54.615221999999996</v>
      </c>
      <c r="AA61" s="1">
        <f>(0.405*(H61^2))</f>
        <v>1.1572945707526772E-3</v>
      </c>
      <c r="AE61" s="1">
        <v>1.9331</v>
      </c>
      <c r="AF61" s="1">
        <v>2.7515189999999998E-2</v>
      </c>
      <c r="AG61" s="1">
        <v>-107.989</v>
      </c>
      <c r="AH61" s="1">
        <v>2.3592490000000002</v>
      </c>
      <c r="AI61" s="1">
        <v>-3.3559079999999998E-2</v>
      </c>
      <c r="AK61" s="1">
        <f t="shared" si="11"/>
        <v>-1.8847636059361568</v>
      </c>
      <c r="AL61" s="1">
        <f t="shared" si="12"/>
        <v>4.1176662924383704E-2</v>
      </c>
      <c r="AM61" s="1">
        <f t="shared" si="13"/>
        <v>-5.8571643994017859E-4</v>
      </c>
      <c r="AN61" s="1">
        <f t="shared" si="14"/>
        <v>0.95549584500000018</v>
      </c>
      <c r="AO61" s="1">
        <f t="shared" si="15"/>
        <v>-1.35914274E-2</v>
      </c>
      <c r="AP61" s="1">
        <f t="shared" si="16"/>
        <v>6.8668461568326784E-4</v>
      </c>
      <c r="AT61" s="1">
        <v>2.066411</v>
      </c>
      <c r="AU61" s="1">
        <v>0.1248924</v>
      </c>
      <c r="AV61" s="1">
        <v>-104.3391</v>
      </c>
      <c r="AW61" s="1">
        <v>10.424250000000001</v>
      </c>
      <c r="AX61" s="1">
        <v>3.9041520000000001E-3</v>
      </c>
      <c r="AZ61" s="1">
        <f t="shared" si="17"/>
        <v>-1.8210608335676155</v>
      </c>
      <c r="BA61" s="1">
        <f t="shared" si="18"/>
        <v>0.18193748455101888</v>
      </c>
      <c r="BB61" s="1">
        <f t="shared" si="19"/>
        <v>6.8140306898321665E-5</v>
      </c>
      <c r="BC61" s="1">
        <f t="shared" si="20"/>
        <v>4.2218212500000005</v>
      </c>
      <c r="BD61" s="1">
        <f t="shared" si="21"/>
        <v>1.5811815600000002E-3</v>
      </c>
      <c r="BE61" s="1">
        <f t="shared" si="22"/>
        <v>1.3406005555324656E-2</v>
      </c>
    </row>
    <row r="62" spans="1:57" x14ac:dyDescent="0.3">
      <c r="A62" s="1">
        <v>1.9664440000000001</v>
      </c>
      <c r="B62" s="1">
        <v>8.6077219999999996E-2</v>
      </c>
      <c r="C62" s="1">
        <v>-94.804810000000003</v>
      </c>
      <c r="D62" s="1">
        <v>7.286492</v>
      </c>
      <c r="E62" s="1">
        <v>153.00790000000001</v>
      </c>
      <c r="G62" s="1">
        <f t="shared" si="1"/>
        <v>-1.6546560812276454</v>
      </c>
      <c r="H62" s="1">
        <f t="shared" si="2"/>
        <v>0.12717327632022665</v>
      </c>
      <c r="I62" s="1">
        <f t="shared" si="3"/>
        <v>2.670491636562232</v>
      </c>
      <c r="J62" s="1">
        <f t="shared" si="4"/>
        <v>5.1505176909691801E-2</v>
      </c>
      <c r="K62" s="1">
        <f t="shared" si="0"/>
        <v>1.0815491128077039</v>
      </c>
      <c r="L62" s="1">
        <f t="shared" si="5"/>
        <v>6.5500820950583931E-3</v>
      </c>
      <c r="O62"/>
      <c r="P62" s="1">
        <v>1.999711</v>
      </c>
      <c r="Q62" s="1">
        <v>0.59748009999999996</v>
      </c>
      <c r="R62" s="1">
        <v>-96.693879999999993</v>
      </c>
      <c r="S62" s="1">
        <v>-50.555889999999998</v>
      </c>
      <c r="T62" s="1">
        <v>211.0821</v>
      </c>
      <c r="U62"/>
      <c r="V62" s="1">
        <f t="shared" si="6"/>
        <v>-1.6876265725282944</v>
      </c>
      <c r="W62" s="1">
        <f t="shared" si="7"/>
        <v>-0.88236673677607591</v>
      </c>
      <c r="X62" s="1">
        <f t="shared" si="8"/>
        <v>3.6840776370239223</v>
      </c>
      <c r="Y62" s="1">
        <f t="shared" si="9"/>
        <v>-20.47513545</v>
      </c>
      <c r="Z62" s="1">
        <f t="shared" si="10"/>
        <v>85.488250500000007</v>
      </c>
      <c r="AA62" s="1">
        <f>(0.405*(H62^2))</f>
        <v>6.5500820950583931E-3</v>
      </c>
      <c r="AE62" s="1">
        <v>1.9663999999999999</v>
      </c>
      <c r="AF62" s="1">
        <v>2.7524369999999999E-2</v>
      </c>
      <c r="AG62" s="1">
        <v>-107.9104</v>
      </c>
      <c r="AH62" s="1">
        <v>2.3589129999999998</v>
      </c>
      <c r="AI62" s="1">
        <v>-3.381257E-2</v>
      </c>
      <c r="AK62" s="1">
        <f t="shared" si="11"/>
        <v>-1.8833917771440889</v>
      </c>
      <c r="AL62" s="1">
        <f t="shared" si="12"/>
        <v>4.1170798618096992E-2</v>
      </c>
      <c r="AM62" s="1">
        <f t="shared" si="13"/>
        <v>-5.9014067506105909E-4</v>
      </c>
      <c r="AN62" s="1">
        <f t="shared" si="14"/>
        <v>0.95535976499999997</v>
      </c>
      <c r="AO62" s="1">
        <f t="shared" si="15"/>
        <v>-1.3694090850000002E-2</v>
      </c>
      <c r="AP62" s="1">
        <f t="shared" si="16"/>
        <v>6.8648903683501841E-4</v>
      </c>
      <c r="AT62" s="1">
        <v>2.0996999999999999</v>
      </c>
      <c r="AU62" s="1">
        <v>0.1249132</v>
      </c>
      <c r="AV62" s="1">
        <v>-103.9918</v>
      </c>
      <c r="AW62" s="1">
        <v>10.42573</v>
      </c>
      <c r="AX62" s="1">
        <v>-1.9072100000000002E-2</v>
      </c>
      <c r="AZ62" s="1">
        <f t="shared" si="17"/>
        <v>-1.8149993050754392</v>
      </c>
      <c r="BA62" s="1">
        <f t="shared" si="18"/>
        <v>0.18196331542394842</v>
      </c>
      <c r="BB62" s="1">
        <f t="shared" si="19"/>
        <v>-3.3287094026961057E-4</v>
      </c>
      <c r="BC62" s="1">
        <f t="shared" si="20"/>
        <v>4.2224206500000001</v>
      </c>
      <c r="BD62" s="1">
        <f t="shared" si="21"/>
        <v>-7.7242005000000011E-3</v>
      </c>
      <c r="BE62" s="1">
        <f t="shared" si="22"/>
        <v>1.3409812504830514E-2</v>
      </c>
    </row>
    <row r="63" spans="1:57" x14ac:dyDescent="0.3">
      <c r="A63" s="1">
        <v>1.999722</v>
      </c>
      <c r="B63" s="1">
        <v>0.1486664</v>
      </c>
      <c r="C63" s="1">
        <v>-94.524079999999998</v>
      </c>
      <c r="D63" s="1">
        <v>12.568720000000001</v>
      </c>
      <c r="E63" s="1">
        <v>-758.04510000000005</v>
      </c>
      <c r="G63" s="1">
        <f t="shared" si="1"/>
        <v>-1.6497564184185216</v>
      </c>
      <c r="H63" s="1">
        <f t="shared" si="2"/>
        <v>0.21936554676126169</v>
      </c>
      <c r="I63" s="1">
        <f t="shared" si="3"/>
        <v>-13.230382873609667</v>
      </c>
      <c r="J63" s="1">
        <f t="shared" si="4"/>
        <v>8.8843046438310994E-2</v>
      </c>
      <c r="K63" s="1">
        <f t="shared" si="0"/>
        <v>-5.3583050638119154</v>
      </c>
      <c r="L63" s="1">
        <f t="shared" si="5"/>
        <v>1.9489103457876251E-2</v>
      </c>
      <c r="O63"/>
      <c r="P63" s="1">
        <v>2.0330560000000002</v>
      </c>
      <c r="Q63" s="1">
        <v>0.52444120000000005</v>
      </c>
      <c r="R63" s="1">
        <v>-98.379620000000003</v>
      </c>
      <c r="S63" s="1">
        <v>-43.476129999999998</v>
      </c>
      <c r="T63" s="1">
        <v>226.26910000000001</v>
      </c>
      <c r="U63"/>
      <c r="V63" s="1">
        <f t="shared" si="6"/>
        <v>-1.717048285860864</v>
      </c>
      <c r="W63" s="1">
        <f t="shared" si="7"/>
        <v>-0.75880161452508221</v>
      </c>
      <c r="X63" s="1">
        <f t="shared" si="8"/>
        <v>3.9491407905243014</v>
      </c>
      <c r="Y63" s="1">
        <f t="shared" si="9"/>
        <v>-17.607832649999999</v>
      </c>
      <c r="Z63" s="1">
        <f t="shared" si="10"/>
        <v>91.638985500000004</v>
      </c>
      <c r="AA63" s="1">
        <f>(0.405*(H63^2))</f>
        <v>1.9489103457876251E-2</v>
      </c>
      <c r="AE63" s="1">
        <v>1.999722</v>
      </c>
      <c r="AF63" s="1">
        <v>2.7510610000000001E-2</v>
      </c>
      <c r="AG63" s="1">
        <v>-107.8318</v>
      </c>
      <c r="AH63" s="1">
        <v>2.3566020000000001</v>
      </c>
      <c r="AI63" s="1">
        <v>-3.4065480000000002E-2</v>
      </c>
      <c r="AK63" s="1">
        <f t="shared" si="11"/>
        <v>-1.8820199483520212</v>
      </c>
      <c r="AL63" s="1">
        <f t="shared" si="12"/>
        <v>4.113046405908341E-2</v>
      </c>
      <c r="AM63" s="1">
        <f t="shared" si="13"/>
        <v>-5.9455478727227804E-4</v>
      </c>
      <c r="AN63" s="1">
        <f t="shared" si="14"/>
        <v>0.95442381000000009</v>
      </c>
      <c r="AO63" s="1">
        <f t="shared" si="15"/>
        <v>-1.3796519400000002E-2</v>
      </c>
      <c r="AP63" s="1">
        <f t="shared" si="16"/>
        <v>6.8514460485479868E-4</v>
      </c>
      <c r="AT63" s="1">
        <v>2.1330330000000002</v>
      </c>
      <c r="AU63" s="1">
        <v>0.12482989999999999</v>
      </c>
      <c r="AV63" s="1">
        <v>-103.64449999999999</v>
      </c>
      <c r="AW63" s="1">
        <v>10.417759999999999</v>
      </c>
      <c r="AX63" s="1">
        <v>-4.2047599999999997E-2</v>
      </c>
      <c r="AZ63" s="1">
        <f t="shared" si="17"/>
        <v>-1.8089377765832628</v>
      </c>
      <c r="BA63" s="1">
        <f t="shared" si="18"/>
        <v>0.18182421268256443</v>
      </c>
      <c r="BB63" s="1">
        <f t="shared" si="19"/>
        <v>-7.3386906256156764E-4</v>
      </c>
      <c r="BC63" s="1">
        <f t="shared" si="20"/>
        <v>4.2191928000000001</v>
      </c>
      <c r="BD63" s="1">
        <f t="shared" si="21"/>
        <v>-1.7029277999999998E-2</v>
      </c>
      <c r="BE63" s="1">
        <f t="shared" si="22"/>
        <v>1.3389317948641942E-2</v>
      </c>
    </row>
    <row r="64" spans="1:57" x14ac:dyDescent="0.3">
      <c r="A64" s="1">
        <v>2.0330560000000002</v>
      </c>
      <c r="B64" s="1">
        <v>0.41175709999999999</v>
      </c>
      <c r="C64" s="1">
        <v>-93.967590000000001</v>
      </c>
      <c r="D64" s="1">
        <v>-34.846080000000001</v>
      </c>
      <c r="E64" s="1">
        <v>-291.28930000000003</v>
      </c>
      <c r="G64" s="1">
        <f t="shared" si="1"/>
        <v>-1.6400438356640983</v>
      </c>
      <c r="H64" s="1">
        <f t="shared" si="2"/>
        <v>-0.60817882741334572</v>
      </c>
      <c r="I64" s="1">
        <f t="shared" si="3"/>
        <v>-5.083957360829519</v>
      </c>
      <c r="J64" s="1">
        <f t="shared" si="4"/>
        <v>-0.24631242510240503</v>
      </c>
      <c r="K64" s="1">
        <f t="shared" si="0"/>
        <v>-2.0590027311359553</v>
      </c>
      <c r="L64" s="1">
        <f t="shared" si="5"/>
        <v>0.14980200187611825</v>
      </c>
      <c r="O64"/>
      <c r="P64" s="1">
        <v>2.0663779999999998</v>
      </c>
      <c r="Q64" s="1">
        <v>0.39938790000000002</v>
      </c>
      <c r="R64" s="1">
        <v>-99.592290000000006</v>
      </c>
      <c r="S64" s="1">
        <v>-33.818269999999998</v>
      </c>
      <c r="T64" s="1">
        <v>306.46710000000002</v>
      </c>
      <c r="U64"/>
      <c r="V64" s="1">
        <f t="shared" si="6"/>
        <v>-1.7382133701010234</v>
      </c>
      <c r="W64" s="1">
        <f t="shared" si="7"/>
        <v>-0.59024015882842273</v>
      </c>
      <c r="X64" s="1">
        <f t="shared" si="8"/>
        <v>5.3488599440387139</v>
      </c>
      <c r="Y64" s="1">
        <f t="shared" si="9"/>
        <v>-13.69639935</v>
      </c>
      <c r="Z64" s="1">
        <f t="shared" si="10"/>
        <v>124.11917550000001</v>
      </c>
      <c r="AA64" s="1">
        <f>(0.405*(H64^2))</f>
        <v>0.14980200187611825</v>
      </c>
      <c r="AE64" s="1">
        <v>2.0330560000000002</v>
      </c>
      <c r="AF64" s="1">
        <v>2.7510610000000001E-2</v>
      </c>
      <c r="AG64" s="1">
        <v>-107.7533</v>
      </c>
      <c r="AH64" s="1">
        <v>2.3554629999999999</v>
      </c>
      <c r="AI64" s="1">
        <v>571.80179999999996</v>
      </c>
      <c r="AK64" s="1">
        <f t="shared" si="11"/>
        <v>-1.8806498648892058</v>
      </c>
      <c r="AL64" s="1">
        <f t="shared" si="12"/>
        <v>4.1110584758903189E-2</v>
      </c>
      <c r="AM64" s="1">
        <f t="shared" si="13"/>
        <v>9.9798240788301111</v>
      </c>
      <c r="AN64" s="1">
        <f t="shared" si="14"/>
        <v>0.95396251499999996</v>
      </c>
      <c r="AO64" s="1">
        <f t="shared" si="15"/>
        <v>231.57972899999999</v>
      </c>
      <c r="AP64" s="1">
        <f t="shared" si="16"/>
        <v>6.8448247258368013E-4</v>
      </c>
      <c r="AT64" s="1">
        <v>2.1663670000000002</v>
      </c>
      <c r="AU64" s="1">
        <v>0.12482989999999999</v>
      </c>
      <c r="AV64" s="1">
        <v>-103.29730000000001</v>
      </c>
      <c r="AW64" s="1">
        <v>10.415979999999999</v>
      </c>
      <c r="AX64" s="1">
        <v>-6.4968899999999996E-2</v>
      </c>
      <c r="AZ64" s="1">
        <f t="shared" si="17"/>
        <v>-1.8028779934203387</v>
      </c>
      <c r="BA64" s="1">
        <f t="shared" si="18"/>
        <v>0.18179314582187894</v>
      </c>
      <c r="BB64" s="1">
        <f t="shared" si="19"/>
        <v>-1.1339212163989439E-3</v>
      </c>
      <c r="BC64" s="1">
        <f t="shared" si="20"/>
        <v>4.2184718999999999</v>
      </c>
      <c r="BD64" s="1">
        <f t="shared" si="21"/>
        <v>-2.6312404500000001E-2</v>
      </c>
      <c r="BE64" s="1">
        <f t="shared" si="22"/>
        <v>1.3384742886465052E-2</v>
      </c>
    </row>
    <row r="65" spans="1:57" x14ac:dyDescent="0.3">
      <c r="A65" s="1">
        <v>2.066389</v>
      </c>
      <c r="B65" s="1">
        <v>0.3568308</v>
      </c>
      <c r="C65" s="1">
        <v>-96.847160000000002</v>
      </c>
      <c r="D65" s="1">
        <v>-30.194299999999998</v>
      </c>
      <c r="E65" s="1">
        <v>590.55409999999995</v>
      </c>
      <c r="G65" s="1">
        <f t="shared" si="1"/>
        <v>-1.6903018132057517</v>
      </c>
      <c r="H65" s="1">
        <f t="shared" si="2"/>
        <v>-0.5269899503349238</v>
      </c>
      <c r="I65" s="1">
        <f t="shared" si="3"/>
        <v>10.307113456151843</v>
      </c>
      <c r="J65" s="1">
        <f t="shared" si="4"/>
        <v>-0.21343092988564416</v>
      </c>
      <c r="K65" s="1">
        <f t="shared" si="0"/>
        <v>4.1743809497414963</v>
      </c>
      <c r="L65" s="1">
        <f t="shared" si="5"/>
        <v>0.11247595514037222</v>
      </c>
      <c r="O65"/>
      <c r="P65" s="1">
        <v>2.0996999999999999</v>
      </c>
      <c r="Q65" s="1">
        <v>0.30743740000000003</v>
      </c>
      <c r="R65" s="1">
        <v>-100.63339999999999</v>
      </c>
      <c r="S65" s="1">
        <v>-24.319379999999999</v>
      </c>
      <c r="T65" s="1">
        <v>314.03570000000002</v>
      </c>
      <c r="U65"/>
      <c r="V65" s="1">
        <f t="shared" si="6"/>
        <v>-1.7563841674764615</v>
      </c>
      <c r="W65" s="1">
        <f t="shared" si="7"/>
        <v>-0.42445325304365861</v>
      </c>
      <c r="X65" s="1">
        <f t="shared" si="8"/>
        <v>5.4809569338051567</v>
      </c>
      <c r="Y65" s="1">
        <f t="shared" si="9"/>
        <v>-9.8493489000000007</v>
      </c>
      <c r="Z65" s="1">
        <f t="shared" si="10"/>
        <v>127.18445850000002</v>
      </c>
      <c r="AA65" s="1">
        <f>(0.405*(H65^2))</f>
        <v>0.11247595514037222</v>
      </c>
      <c r="AE65" s="1">
        <v>2.0663779999999998</v>
      </c>
      <c r="AF65" s="1">
        <v>0.41054800000000002</v>
      </c>
      <c r="AG65" s="1">
        <v>-107.6748</v>
      </c>
      <c r="AH65" s="1">
        <v>35.70626</v>
      </c>
      <c r="AI65" s="1">
        <v>879.45519999999999</v>
      </c>
      <c r="AK65" s="1">
        <f t="shared" si="11"/>
        <v>-1.8792797814263904</v>
      </c>
      <c r="AL65" s="1">
        <f t="shared" si="12"/>
        <v>0.62319180057315049</v>
      </c>
      <c r="AM65" s="1">
        <f t="shared" si="13"/>
        <v>15.349388863785235</v>
      </c>
      <c r="AN65" s="1">
        <f t="shared" si="14"/>
        <v>14.461035300000001</v>
      </c>
      <c r="AO65" s="1">
        <f t="shared" si="15"/>
        <v>356.17935600000004</v>
      </c>
      <c r="AP65" s="1">
        <f t="shared" si="16"/>
        <v>0.1572890482221502</v>
      </c>
      <c r="AT65" s="1">
        <v>2.1997</v>
      </c>
      <c r="AU65" s="1">
        <v>0.1248507</v>
      </c>
      <c r="AV65" s="1">
        <v>-102.95010000000001</v>
      </c>
      <c r="AW65" s="1">
        <v>10.41517</v>
      </c>
      <c r="AX65" s="1">
        <v>962.60299999999995</v>
      </c>
      <c r="AZ65" s="1">
        <f t="shared" si="17"/>
        <v>-1.7968182102574142</v>
      </c>
      <c r="BA65" s="1">
        <f t="shared" si="18"/>
        <v>0.18177900865493782</v>
      </c>
      <c r="BB65" s="1">
        <f t="shared" si="19"/>
        <v>16.800591739574976</v>
      </c>
      <c r="BC65" s="1">
        <f t="shared" si="20"/>
        <v>4.2181438500000006</v>
      </c>
      <c r="BD65" s="1">
        <f t="shared" si="21"/>
        <v>389.85421500000001</v>
      </c>
      <c r="BE65" s="1">
        <f t="shared" si="22"/>
        <v>1.3382661234966644E-2</v>
      </c>
    </row>
    <row r="66" spans="1:57" x14ac:dyDescent="0.3">
      <c r="A66" s="1">
        <v>2.0996999999999999</v>
      </c>
      <c r="B66" s="1">
        <v>0.3264938</v>
      </c>
      <c r="C66" s="1">
        <v>-95.979870000000005</v>
      </c>
      <c r="D66" s="1">
        <v>27.703130000000002</v>
      </c>
      <c r="E66" s="1">
        <v>1033.2940000000001</v>
      </c>
      <c r="G66" s="1">
        <f t="shared" si="1"/>
        <v>-1.67516474713613</v>
      </c>
      <c r="H66" s="1">
        <f t="shared" si="2"/>
        <v>0.48351083160801672</v>
      </c>
      <c r="I66" s="1">
        <f t="shared" si="3"/>
        <v>18.034382441102288</v>
      </c>
      <c r="J66" s="1">
        <f t="shared" si="4"/>
        <v>0.19582188680124679</v>
      </c>
      <c r="K66" s="1">
        <f t="shared" si="0"/>
        <v>7.303924888646427</v>
      </c>
      <c r="L66" s="1">
        <f t="shared" si="5"/>
        <v>9.4682003334321738E-2</v>
      </c>
      <c r="O66"/>
      <c r="P66" s="1">
        <v>2.1330330000000002</v>
      </c>
      <c r="Q66" s="1">
        <v>0.1420593</v>
      </c>
      <c r="R66" s="1">
        <v>-101.2133</v>
      </c>
      <c r="S66" s="1">
        <v>-12.03505</v>
      </c>
      <c r="T66" s="1">
        <v>311.1069</v>
      </c>
      <c r="U66"/>
      <c r="V66" s="1">
        <f t="shared" si="6"/>
        <v>-1.7665053318087767</v>
      </c>
      <c r="W66" s="1">
        <f t="shared" si="7"/>
        <v>-0.21005124814214354</v>
      </c>
      <c r="X66" s="1">
        <f t="shared" si="8"/>
        <v>5.4298397306727466</v>
      </c>
      <c r="Y66" s="1">
        <f t="shared" si="9"/>
        <v>-4.8741952500000005</v>
      </c>
      <c r="Z66" s="1">
        <f t="shared" si="10"/>
        <v>125.9982945</v>
      </c>
      <c r="AA66" s="1">
        <f>(0.405*(H66^2))</f>
        <v>9.4682003334321738E-2</v>
      </c>
      <c r="AE66" s="1">
        <v>2.0996999999999999</v>
      </c>
      <c r="AF66" s="1">
        <v>0.80836850000000005</v>
      </c>
      <c r="AG66" s="1">
        <v>-105.3737</v>
      </c>
      <c r="AH66" s="1">
        <v>70.317999999999998</v>
      </c>
      <c r="AI66" s="1">
        <v>785.48239999999998</v>
      </c>
      <c r="AK66" s="1">
        <f t="shared" si="11"/>
        <v>-1.8391180100087487</v>
      </c>
      <c r="AL66" s="1">
        <f t="shared" si="12"/>
        <v>1.2272806234173725</v>
      </c>
      <c r="AM66" s="1">
        <f t="shared" si="13"/>
        <v>13.709254096467106</v>
      </c>
      <c r="AN66" s="1">
        <f t="shared" si="14"/>
        <v>28.47879</v>
      </c>
      <c r="AO66" s="1">
        <f t="shared" si="15"/>
        <v>318.12037200000003</v>
      </c>
      <c r="AP66" s="1">
        <f t="shared" si="16"/>
        <v>0.61001818008937259</v>
      </c>
      <c r="AT66" s="1">
        <v>2.2330220000000001</v>
      </c>
      <c r="AU66" s="1">
        <v>0.79727159999999997</v>
      </c>
      <c r="AV66" s="1">
        <v>-102.60299999999999</v>
      </c>
      <c r="AW66" s="1">
        <v>66.567089999999993</v>
      </c>
      <c r="AX66" s="1">
        <v>1443.231</v>
      </c>
      <c r="AZ66" s="1">
        <f t="shared" si="17"/>
        <v>-1.7907601724237416</v>
      </c>
      <c r="BA66" s="1">
        <f t="shared" si="18"/>
        <v>1.1618148939713921</v>
      </c>
      <c r="BB66" s="1">
        <f t="shared" si="19"/>
        <v>25.189132816850279</v>
      </c>
      <c r="BC66" s="1">
        <f t="shared" si="20"/>
        <v>26.959671449999998</v>
      </c>
      <c r="BD66" s="1">
        <f t="shared" si="21"/>
        <v>584.508555</v>
      </c>
      <c r="BE66" s="1">
        <f t="shared" si="22"/>
        <v>0.54667460838077164</v>
      </c>
    </row>
    <row r="67" spans="1:57" x14ac:dyDescent="0.3">
      <c r="A67" s="1">
        <v>2.1330439999999999</v>
      </c>
      <c r="B67" s="1">
        <v>0.36421809999999999</v>
      </c>
      <c r="C67" s="1">
        <v>-95.000590000000003</v>
      </c>
      <c r="D67" s="1">
        <v>30.911159999999999</v>
      </c>
      <c r="E67" s="1">
        <v>65.392039999999994</v>
      </c>
      <c r="G67" s="1">
        <f t="shared" si="1"/>
        <v>-1.6580730868371998</v>
      </c>
      <c r="H67" s="1">
        <f t="shared" si="2"/>
        <v>0.53950151761077036</v>
      </c>
      <c r="I67" s="1">
        <f t="shared" si="3"/>
        <v>1.1413064025958326</v>
      </c>
      <c r="J67" s="1">
        <f t="shared" si="4"/>
        <v>0.21849811463236202</v>
      </c>
      <c r="K67" s="1">
        <f t="shared" si="0"/>
        <v>0.46222909305131221</v>
      </c>
      <c r="L67" s="1">
        <f t="shared" si="5"/>
        <v>0.11788006443925138</v>
      </c>
      <c r="O67"/>
      <c r="P67" s="1">
        <v>2.1663670000000002</v>
      </c>
      <c r="Q67" s="1">
        <v>4.1319910000000001E-2</v>
      </c>
      <c r="R67" s="1">
        <v>-101.4358</v>
      </c>
      <c r="S67" s="1">
        <v>-3.4932180000000002</v>
      </c>
      <c r="T67" s="1">
        <v>176.57300000000001</v>
      </c>
      <c r="U67"/>
      <c r="V67" s="1">
        <f t="shared" si="6"/>
        <v>-1.770388689394464</v>
      </c>
      <c r="W67" s="1">
        <f t="shared" si="7"/>
        <v>-6.096815558993128E-2</v>
      </c>
      <c r="X67" s="1">
        <f t="shared" si="8"/>
        <v>3.0817802201239477</v>
      </c>
      <c r="Y67" s="1">
        <f t="shared" si="9"/>
        <v>-1.4147532900000002</v>
      </c>
      <c r="Z67" s="1">
        <f t="shared" si="10"/>
        <v>71.512065000000007</v>
      </c>
      <c r="AA67" s="1">
        <f>(0.405*(H67^2))</f>
        <v>0.11788006443925138</v>
      </c>
      <c r="AE67" s="1">
        <v>2.1330439999999999</v>
      </c>
      <c r="AF67" s="1">
        <v>0.94358129999999996</v>
      </c>
      <c r="AG67" s="1">
        <v>-102.98699999999999</v>
      </c>
      <c r="AH67" s="1">
        <v>82.128680000000003</v>
      </c>
      <c r="AI67" s="1">
        <v>295.03289999999998</v>
      </c>
      <c r="AK67" s="1">
        <f t="shared" si="11"/>
        <v>-1.7974622367514002</v>
      </c>
      <c r="AL67" s="1">
        <f t="shared" si="12"/>
        <v>1.4334158763168168</v>
      </c>
      <c r="AM67" s="1">
        <f t="shared" si="13"/>
        <v>5.1492955067071779</v>
      </c>
      <c r="AN67" s="1">
        <f t="shared" si="14"/>
        <v>33.262115400000006</v>
      </c>
      <c r="AO67" s="1">
        <f t="shared" si="15"/>
        <v>119.4883245</v>
      </c>
      <c r="AP67" s="1">
        <f t="shared" si="16"/>
        <v>0.8321458351632286</v>
      </c>
      <c r="AT67" s="1">
        <v>2.2663669999999998</v>
      </c>
      <c r="AU67" s="1">
        <v>1.4682999999999999</v>
      </c>
      <c r="AV67" s="1">
        <v>-98.512299999999996</v>
      </c>
      <c r="AW67" s="1">
        <v>122.6718</v>
      </c>
      <c r="AX67" s="1">
        <v>1008.86</v>
      </c>
      <c r="AZ67" s="1">
        <f t="shared" si="17"/>
        <v>-1.7193639887124097</v>
      </c>
      <c r="BA67" s="1">
        <f t="shared" si="18"/>
        <v>2.1410268093479798</v>
      </c>
      <c r="BB67" s="1">
        <f t="shared" si="19"/>
        <v>17.607928691669994</v>
      </c>
      <c r="BC67" s="1">
        <f t="shared" si="20"/>
        <v>49.682079000000002</v>
      </c>
      <c r="BD67" s="1">
        <f t="shared" si="21"/>
        <v>408.58830000000006</v>
      </c>
      <c r="BE67" s="1">
        <f t="shared" si="22"/>
        <v>1.8565182983304505</v>
      </c>
    </row>
    <row r="68" spans="1:57" x14ac:dyDescent="0.3">
      <c r="A68" s="1">
        <v>2.1663670000000002</v>
      </c>
      <c r="B68" s="1">
        <v>0.38021909999999998</v>
      </c>
      <c r="C68" s="1">
        <v>-93.919129999999996</v>
      </c>
      <c r="D68" s="1">
        <v>32.283450000000002</v>
      </c>
      <c r="E68" s="1">
        <v>39.762970000000003</v>
      </c>
      <c r="G68" s="1">
        <f t="shared" ref="G68:G131" si="23">C68 * PI() / 180</f>
        <v>-1.639198049108582</v>
      </c>
      <c r="H68" s="1">
        <f t="shared" ref="H68:H131" si="24">D68 * PI() / 180</f>
        <v>0.56345249640296347</v>
      </c>
      <c r="I68" s="1">
        <f t="shared" ref="I68:I131" si="25">E68 * PI() / 180</f>
        <v>0.69399474687172968</v>
      </c>
      <c r="J68" s="1">
        <f t="shared" ref="J68:J131" si="26">(0.405*H68)</f>
        <v>0.22819826104320021</v>
      </c>
      <c r="K68" s="1">
        <f t="shared" ref="K68:K131" si="27">(0.405*I68)</f>
        <v>0.28106787248305054</v>
      </c>
      <c r="L68" s="1">
        <f t="shared" ref="L68:L131" si="28">(0.405*(H68^2))</f>
        <v>0.12857887985960628</v>
      </c>
      <c r="O68"/>
      <c r="P68" s="1">
        <v>2.1996889999999998</v>
      </c>
      <c r="Q68" s="1">
        <v>6.6626239999999998E-3</v>
      </c>
      <c r="R68" s="1">
        <v>-101.4462</v>
      </c>
      <c r="S68" s="1">
        <v>-0.14633099999999999</v>
      </c>
      <c r="T68" s="1">
        <v>49.904269999999997</v>
      </c>
      <c r="U68"/>
      <c r="V68" s="1">
        <f t="shared" ref="V68:V84" si="29">R68 * PI() / 180</f>
        <v>-1.7705702036366717</v>
      </c>
      <c r="W68" s="1">
        <f t="shared" ref="W68:W84" si="30">S68 * PI() / 180</f>
        <v>-2.5539577477358224E-3</v>
      </c>
      <c r="X68" s="1">
        <f t="shared" ref="X68:X84" si="31">T68 * PI() / 180</f>
        <v>0.8709938223042305</v>
      </c>
      <c r="Y68" s="1">
        <f t="shared" ref="Y68:Y84" si="32">(0.405*S68)</f>
        <v>-5.9264054999999996E-2</v>
      </c>
      <c r="Z68" s="1">
        <f t="shared" ref="Z68:Z84" si="33">(0.405*T68)</f>
        <v>20.21122935</v>
      </c>
      <c r="AA68" s="1">
        <f>(0.405*(H68^2))</f>
        <v>0.12857887985960628</v>
      </c>
      <c r="AE68" s="1">
        <v>2.1663890000000001</v>
      </c>
      <c r="AF68" s="1">
        <v>1.0657369999999999</v>
      </c>
      <c r="AG68" s="1">
        <v>-99.896630000000002</v>
      </c>
      <c r="AH68" s="1">
        <v>92.817989999999995</v>
      </c>
      <c r="AI68" s="1">
        <v>253.8913</v>
      </c>
      <c r="AK68" s="1">
        <f t="shared" ref="AK68:AK97" si="34">AG68 * PI() / 180</f>
        <v>-1.7435251051465432</v>
      </c>
      <c r="AL68" s="1">
        <f t="shared" ref="AL68:AL97" si="35">AH68 * PI() / 180</f>
        <v>1.6199795305831715</v>
      </c>
      <c r="AM68" s="1">
        <f t="shared" ref="AM68:AM97" si="36">AI68 * PI() / 180</f>
        <v>4.4312391271686797</v>
      </c>
      <c r="AN68" s="1">
        <f t="shared" ref="AN68:AN97" si="37">(0.405*AH68)</f>
        <v>37.59128595</v>
      </c>
      <c r="AO68" s="1">
        <f t="shared" ref="AO68:AO97" si="38">(0.405*AI68)</f>
        <v>102.82597650000001</v>
      </c>
      <c r="AP68" s="1">
        <f t="shared" ref="AP68:AP97" si="39">(0.405*(AL68^2))</f>
        <v>1.0628551402009314</v>
      </c>
      <c r="AT68" s="1">
        <v>2.2996780000000001</v>
      </c>
      <c r="AU68" s="1">
        <v>1.4994959999999999</v>
      </c>
      <c r="AV68" s="1">
        <v>-94.426280000000006</v>
      </c>
      <c r="AW68" s="1">
        <v>125.3929</v>
      </c>
      <c r="AX68" s="1">
        <v>14.454499999999999</v>
      </c>
      <c r="AZ68" s="1">
        <f t="shared" ref="AZ68:AZ97" si="40">AV68 * PI() / 180</f>
        <v>-1.6480494864100712</v>
      </c>
      <c r="BA68" s="1">
        <f t="shared" ref="BA68:BA97" si="41">AW68 * PI() / 180</f>
        <v>2.1885189636239977</v>
      </c>
      <c r="BB68" s="1">
        <f t="shared" ref="BB68:BB97" si="42">AX68 * PI() / 180</f>
        <v>0.25227861672952034</v>
      </c>
      <c r="BC68" s="1">
        <f t="shared" ref="BC68:BC97" si="43">(0.405*AW68)</f>
        <v>50.784124500000004</v>
      </c>
      <c r="BD68" s="1">
        <f t="shared" ref="BD68:BD97" si="44">(0.405*AX68)</f>
        <v>5.8540725</v>
      </c>
      <c r="BE68" s="1">
        <f t="shared" ref="BE68:BE97" si="45">(0.405*(BA68^2))</f>
        <v>1.9397941779274519</v>
      </c>
    </row>
    <row r="69" spans="1:57" x14ac:dyDescent="0.3">
      <c r="A69" s="1">
        <v>2.1997</v>
      </c>
      <c r="B69" s="1">
        <v>0.39049080000000003</v>
      </c>
      <c r="C69" s="1">
        <v>-92.84872</v>
      </c>
      <c r="D69" s="1">
        <v>33.152970000000003</v>
      </c>
      <c r="E69" s="1">
        <v>34.69256</v>
      </c>
      <c r="G69" s="1">
        <f t="shared" si="23"/>
        <v>-1.6205158702623095</v>
      </c>
      <c r="H69" s="1">
        <f t="shared" si="24"/>
        <v>0.57862848331490457</v>
      </c>
      <c r="I69" s="1">
        <f t="shared" si="25"/>
        <v>0.60549939794568397</v>
      </c>
      <c r="J69" s="1">
        <f t="shared" si="26"/>
        <v>0.23434453574253636</v>
      </c>
      <c r="K69" s="1">
        <f t="shared" si="27"/>
        <v>0.24522725616800203</v>
      </c>
      <c r="L69" s="1">
        <f t="shared" si="28"/>
        <v>0.13559842328983926</v>
      </c>
      <c r="O69"/>
      <c r="P69" s="1">
        <v>2.2330220000000001</v>
      </c>
      <c r="Q69" s="1">
        <v>6.8169900000000002E-3</v>
      </c>
      <c r="R69" s="1">
        <v>-101.4455</v>
      </c>
      <c r="S69" s="1">
        <v>-0.49924249999999998</v>
      </c>
      <c r="T69" s="1">
        <v>234.8845</v>
      </c>
      <c r="U69"/>
      <c r="V69" s="1">
        <f t="shared" si="29"/>
        <v>-1.7705579863319074</v>
      </c>
      <c r="W69" s="1">
        <f t="shared" si="30"/>
        <v>-8.7134253908877912E-3</v>
      </c>
      <c r="X69" s="1">
        <f t="shared" si="31"/>
        <v>4.0995078869006214</v>
      </c>
      <c r="Y69" s="1">
        <f t="shared" si="32"/>
        <v>-0.2021932125</v>
      </c>
      <c r="Z69" s="1">
        <f t="shared" si="33"/>
        <v>95.128222500000007</v>
      </c>
      <c r="AA69" s="1">
        <f>(0.405*(H69^2))</f>
        <v>0.13559842328983926</v>
      </c>
      <c r="AE69" s="1">
        <v>2.1997</v>
      </c>
      <c r="AF69" s="1">
        <v>1.113882</v>
      </c>
      <c r="AG69" s="1">
        <v>-96.800139999999999</v>
      </c>
      <c r="AH69" s="1">
        <v>97.058539999999994</v>
      </c>
      <c r="AI69" s="1">
        <v>114.64919999999999</v>
      </c>
      <c r="AK69" s="1">
        <f t="shared" si="34"/>
        <v>-1.6894811593914638</v>
      </c>
      <c r="AL69" s="1">
        <f t="shared" si="35"/>
        <v>1.693991090178617</v>
      </c>
      <c r="AM69" s="1">
        <f t="shared" si="36"/>
        <v>2.0010060247774826</v>
      </c>
      <c r="AN69" s="1">
        <f t="shared" si="37"/>
        <v>39.308708699999997</v>
      </c>
      <c r="AO69" s="1">
        <f t="shared" si="38"/>
        <v>46.432926000000002</v>
      </c>
      <c r="AP69" s="1">
        <f t="shared" si="39"/>
        <v>1.1621903545098384</v>
      </c>
      <c r="AT69" s="1">
        <v>2.3330220000000002</v>
      </c>
      <c r="AU69" s="1">
        <v>1.492972</v>
      </c>
      <c r="AV69" s="1">
        <v>-90.154169999999993</v>
      </c>
      <c r="AW69" s="1">
        <v>124.91079999999999</v>
      </c>
      <c r="AX69" s="1">
        <v>52.826639999999998</v>
      </c>
      <c r="AZ69" s="1">
        <f t="shared" si="40"/>
        <v>-1.5734871009026961</v>
      </c>
      <c r="BA69" s="1">
        <f t="shared" si="41"/>
        <v>2.1801047313001329</v>
      </c>
      <c r="BB69" s="1">
        <f t="shared" si="42"/>
        <v>0.92199880076573726</v>
      </c>
      <c r="BC69" s="1">
        <f t="shared" si="43"/>
        <v>50.588874000000004</v>
      </c>
      <c r="BD69" s="1">
        <f t="shared" si="44"/>
        <v>21.394789200000002</v>
      </c>
      <c r="BE69" s="1">
        <f t="shared" si="45"/>
        <v>1.9249069389720761</v>
      </c>
    </row>
    <row r="70" spans="1:57" x14ac:dyDescent="0.3">
      <c r="A70" s="1">
        <v>2.2330220000000001</v>
      </c>
      <c r="B70" s="1">
        <v>0.40998089999999998</v>
      </c>
      <c r="C70" s="1">
        <v>-91.709299999999999</v>
      </c>
      <c r="D70" s="1">
        <v>34.824449999999999</v>
      </c>
      <c r="E70" s="1">
        <v>30.330120000000001</v>
      </c>
      <c r="G70" s="1">
        <f t="shared" si="23"/>
        <v>-1.6006292396992354</v>
      </c>
      <c r="H70" s="1">
        <f t="shared" si="24"/>
        <v>0.60780131269613924</v>
      </c>
      <c r="I70" s="1">
        <f t="shared" si="25"/>
        <v>0.52936045652498254</v>
      </c>
      <c r="J70" s="1">
        <f t="shared" si="26"/>
        <v>0.24615953164193641</v>
      </c>
      <c r="K70" s="1">
        <f t="shared" si="27"/>
        <v>0.21439098489261793</v>
      </c>
      <c r="L70" s="1">
        <f t="shared" si="28"/>
        <v>0.14961608646463578</v>
      </c>
      <c r="O70"/>
      <c r="P70" s="1">
        <v>2.266356</v>
      </c>
      <c r="Q70" s="1">
        <v>0.15709339999999999</v>
      </c>
      <c r="R70" s="1">
        <v>-101.4794</v>
      </c>
      <c r="S70" s="1">
        <v>13.293670000000001</v>
      </c>
      <c r="T70" s="1">
        <v>359.28769999999997</v>
      </c>
      <c r="U70"/>
      <c r="V70" s="1">
        <f t="shared" si="29"/>
        <v>-1.7711496529483337</v>
      </c>
      <c r="W70" s="1">
        <f t="shared" si="30"/>
        <v>0.23201831117359462</v>
      </c>
      <c r="X70" s="1">
        <f t="shared" si="31"/>
        <v>6.2707533269176299</v>
      </c>
      <c r="Y70" s="1">
        <f t="shared" si="32"/>
        <v>5.3839363500000008</v>
      </c>
      <c r="Z70" s="1">
        <f t="shared" si="33"/>
        <v>145.51151849999999</v>
      </c>
      <c r="AA70" s="1">
        <f>(0.405*(H70^2))</f>
        <v>0.14961608646463578</v>
      </c>
      <c r="AE70" s="1">
        <v>2.2330220000000001</v>
      </c>
      <c r="AF70" s="1">
        <v>1.1650039999999999</v>
      </c>
      <c r="AG70" s="1">
        <v>-93.429289999999995</v>
      </c>
      <c r="AH70" s="1">
        <v>101.57859999999999</v>
      </c>
      <c r="AI70" s="1">
        <v>147.40479999999999</v>
      </c>
      <c r="AK70" s="1">
        <f t="shared" si="34"/>
        <v>-1.6306487283006128</v>
      </c>
      <c r="AL70" s="1">
        <f t="shared" si="35"/>
        <v>1.7728810195663121</v>
      </c>
      <c r="AM70" s="1">
        <f t="shared" si="36"/>
        <v>2.5726990932437372</v>
      </c>
      <c r="AN70" s="1">
        <f t="shared" si="37"/>
        <v>41.139333000000001</v>
      </c>
      <c r="AO70" s="1">
        <f t="shared" si="38"/>
        <v>59.698944000000004</v>
      </c>
      <c r="AP70" s="1">
        <f t="shared" si="39"/>
        <v>1.272958379363087</v>
      </c>
      <c r="AT70" s="1">
        <v>2.366333</v>
      </c>
      <c r="AU70" s="1">
        <v>1.514743</v>
      </c>
      <c r="AV70" s="1">
        <v>-86.100279999999998</v>
      </c>
      <c r="AW70" s="1">
        <v>126.85760000000001</v>
      </c>
      <c r="AX70" s="1">
        <v>-46.442300000000003</v>
      </c>
      <c r="AZ70" s="1">
        <f t="shared" si="40"/>
        <v>-1.5027333728890233</v>
      </c>
      <c r="BA70" s="1">
        <f t="shared" si="41"/>
        <v>2.2140828011779585</v>
      </c>
      <c r="BB70" s="1">
        <f t="shared" si="42"/>
        <v>-0.81057104719896256</v>
      </c>
      <c r="BC70" s="1">
        <f t="shared" si="43"/>
        <v>51.377328000000006</v>
      </c>
      <c r="BD70" s="1">
        <f t="shared" si="44"/>
        <v>-18.809131500000003</v>
      </c>
      <c r="BE70" s="1">
        <f t="shared" si="45"/>
        <v>1.9853758734411744</v>
      </c>
    </row>
    <row r="71" spans="1:57" x14ac:dyDescent="0.3">
      <c r="A71" s="1">
        <v>2.266356</v>
      </c>
      <c r="B71" s="1">
        <v>0.41450920000000002</v>
      </c>
      <c r="C71" s="1">
        <v>-90.527469999999994</v>
      </c>
      <c r="D71" s="1">
        <v>35.240070000000003</v>
      </c>
      <c r="E71" s="1">
        <v>-3.6160389999999998</v>
      </c>
      <c r="G71" s="1">
        <f t="shared" si="23"/>
        <v>-1.5800024150003911</v>
      </c>
      <c r="H71" s="1">
        <f t="shared" si="24"/>
        <v>0.61505525013327822</v>
      </c>
      <c r="I71" s="1">
        <f t="shared" si="25"/>
        <v>-6.3111786430523231E-2</v>
      </c>
      <c r="J71" s="1">
        <f t="shared" si="26"/>
        <v>0.24909737630397769</v>
      </c>
      <c r="K71" s="1">
        <f t="shared" si="27"/>
        <v>-2.5560273504361911E-2</v>
      </c>
      <c r="L71" s="1">
        <f t="shared" si="28"/>
        <v>0.15320864909018633</v>
      </c>
      <c r="O71"/>
      <c r="P71" s="1">
        <v>2.2996780000000001</v>
      </c>
      <c r="Q71" s="1">
        <v>0.32600679999999999</v>
      </c>
      <c r="R71" s="1">
        <v>-100.5594</v>
      </c>
      <c r="S71" s="1">
        <v>27.616040000000002</v>
      </c>
      <c r="T71" s="1">
        <v>373.99099999999999</v>
      </c>
      <c r="U71"/>
      <c r="V71" s="1">
        <f t="shared" si="29"/>
        <v>-1.7550926238299855</v>
      </c>
      <c r="W71" s="1">
        <f t="shared" si="30"/>
        <v>0.48199082436245483</v>
      </c>
      <c r="X71" s="1">
        <f t="shared" si="31"/>
        <v>6.5273743228261116</v>
      </c>
      <c r="Y71" s="1">
        <f t="shared" si="32"/>
        <v>11.184496200000002</v>
      </c>
      <c r="Z71" s="1">
        <f t="shared" si="33"/>
        <v>151.46635499999999</v>
      </c>
      <c r="AA71" s="1">
        <f>(0.405*(H71^2))</f>
        <v>0.15320864909018633</v>
      </c>
      <c r="AE71" s="1">
        <v>2.2663440000000001</v>
      </c>
      <c r="AF71" s="1">
        <v>1.2132540000000001</v>
      </c>
      <c r="AG71" s="1">
        <v>-90.03049</v>
      </c>
      <c r="AH71" s="1">
        <v>105.8302</v>
      </c>
      <c r="AI71" s="1">
        <v>-6.0246709999999997</v>
      </c>
      <c r="AK71" s="1">
        <f t="shared" si="34"/>
        <v>-1.5713284776838297</v>
      </c>
      <c r="AL71" s="1">
        <f t="shared" si="35"/>
        <v>1.8470854380441031</v>
      </c>
      <c r="AM71" s="1">
        <f t="shared" si="36"/>
        <v>-0.10515034529941927</v>
      </c>
      <c r="AN71" s="1">
        <f t="shared" si="37"/>
        <v>42.861231000000004</v>
      </c>
      <c r="AO71" s="1">
        <f t="shared" si="38"/>
        <v>-2.4399917549999999</v>
      </c>
      <c r="AP71" s="1">
        <f t="shared" si="39"/>
        <v>1.3817484692510034</v>
      </c>
      <c r="AT71" s="1">
        <v>2.399667</v>
      </c>
      <c r="AU71" s="1">
        <v>1.489168</v>
      </c>
      <c r="AV71" s="1">
        <v>-81.699809999999999</v>
      </c>
      <c r="AW71" s="1">
        <v>124.80200000000001</v>
      </c>
      <c r="AX71" s="1">
        <v>-91.160809999999998</v>
      </c>
      <c r="AZ71" s="1">
        <f t="shared" si="40"/>
        <v>-1.4259306827537885</v>
      </c>
      <c r="BA71" s="1">
        <f t="shared" si="41"/>
        <v>2.1782058130739634</v>
      </c>
      <c r="BB71" s="1">
        <f t="shared" si="42"/>
        <v>-1.591056283284972</v>
      </c>
      <c r="BC71" s="1">
        <f t="shared" si="43"/>
        <v>50.544810000000005</v>
      </c>
      <c r="BD71" s="1">
        <f t="shared" si="44"/>
        <v>-36.920128050000002</v>
      </c>
      <c r="BE71" s="1">
        <f t="shared" si="45"/>
        <v>1.9215551284642287</v>
      </c>
    </row>
    <row r="72" spans="1:57" x14ac:dyDescent="0.3">
      <c r="A72" s="1">
        <v>2.2996780000000001</v>
      </c>
      <c r="B72" s="1">
        <v>0.40574300000000002</v>
      </c>
      <c r="C72" s="1">
        <v>-89.36036</v>
      </c>
      <c r="D72" s="1">
        <v>34.497439999999997</v>
      </c>
      <c r="E72" s="1">
        <v>-44.91986</v>
      </c>
      <c r="G72" s="1">
        <f t="shared" si="23"/>
        <v>-1.55963250276744</v>
      </c>
      <c r="H72" s="1">
        <f t="shared" si="24"/>
        <v>0.60209391150919256</v>
      </c>
      <c r="I72" s="1">
        <f t="shared" si="25"/>
        <v>-0.78399945653490011</v>
      </c>
      <c r="J72" s="1">
        <f t="shared" si="26"/>
        <v>0.243848034161223</v>
      </c>
      <c r="K72" s="1">
        <f t="shared" si="27"/>
        <v>-0.31751977989663455</v>
      </c>
      <c r="L72" s="1">
        <f t="shared" si="28"/>
        <v>0.14681941670195797</v>
      </c>
      <c r="O72"/>
      <c r="P72" s="1">
        <v>2.3330000000000002</v>
      </c>
      <c r="Q72" s="1">
        <v>0.41430939999999999</v>
      </c>
      <c r="R72" s="1">
        <v>-99.638980000000004</v>
      </c>
      <c r="S72" s="1">
        <v>35.109250000000003</v>
      </c>
      <c r="T72" s="1">
        <v>293.4606</v>
      </c>
      <c r="U72"/>
      <c r="V72" s="1">
        <f t="shared" si="29"/>
        <v>-1.7390282643287795</v>
      </c>
      <c r="W72" s="1">
        <f t="shared" si="30"/>
        <v>0.61277201040581919</v>
      </c>
      <c r="X72" s="1">
        <f t="shared" si="31"/>
        <v>5.1218536948780713</v>
      </c>
      <c r="Y72" s="1">
        <f t="shared" si="32"/>
        <v>14.219246250000003</v>
      </c>
      <c r="Z72" s="1">
        <f t="shared" si="33"/>
        <v>118.85154300000001</v>
      </c>
      <c r="AA72" s="1">
        <f>(0.405*(H72^2))</f>
        <v>0.14681941670195797</v>
      </c>
      <c r="AE72" s="1">
        <v>2.2996780000000001</v>
      </c>
      <c r="AF72" s="1">
        <v>1.18086</v>
      </c>
      <c r="AG72" s="1">
        <v>-86.375119999999995</v>
      </c>
      <c r="AH72" s="1">
        <v>103.03149999999999</v>
      </c>
      <c r="AI72" s="1">
        <v>-212.43520000000001</v>
      </c>
      <c r="AK72" s="1">
        <f t="shared" si="34"/>
        <v>-1.5075302358052043</v>
      </c>
      <c r="AL72" s="1">
        <f t="shared" si="35"/>
        <v>1.7982389082685375</v>
      </c>
      <c r="AM72" s="1">
        <f t="shared" si="36"/>
        <v>-3.7076936871326578</v>
      </c>
      <c r="AN72" s="1">
        <f t="shared" si="37"/>
        <v>41.727757500000003</v>
      </c>
      <c r="AO72" s="1">
        <f t="shared" si="38"/>
        <v>-86.036256000000009</v>
      </c>
      <c r="AP72" s="1">
        <f t="shared" si="39"/>
        <v>1.3096335843403828</v>
      </c>
      <c r="AT72" s="1">
        <v>2.4329890000000001</v>
      </c>
      <c r="AU72" s="1">
        <v>1.4055960000000001</v>
      </c>
      <c r="AV72" s="1">
        <v>-77.781540000000007</v>
      </c>
      <c r="AW72" s="1">
        <v>117.86239999999999</v>
      </c>
      <c r="AX72" s="1">
        <v>-279.23829999999998</v>
      </c>
      <c r="AZ72" s="1">
        <f t="shared" si="40"/>
        <v>-1.3575439702716703</v>
      </c>
      <c r="BA72" s="1">
        <f t="shared" si="41"/>
        <v>2.0570869443025646</v>
      </c>
      <c r="BB72" s="1">
        <f t="shared" si="42"/>
        <v>-4.8736277326716815</v>
      </c>
      <c r="BC72" s="1">
        <f t="shared" si="43"/>
        <v>47.734271999999997</v>
      </c>
      <c r="BD72" s="1">
        <f t="shared" si="44"/>
        <v>-113.0915115</v>
      </c>
      <c r="BE72" s="1">
        <f t="shared" si="45"/>
        <v>1.7138007120501253</v>
      </c>
    </row>
    <row r="73" spans="1:57" x14ac:dyDescent="0.3">
      <c r="A73" s="1">
        <v>2.3330220000000002</v>
      </c>
      <c r="B73" s="1">
        <v>0.38043320000000003</v>
      </c>
      <c r="C73" s="1">
        <v>-88.227649999999997</v>
      </c>
      <c r="D73" s="1">
        <v>32.35624</v>
      </c>
      <c r="E73" s="1">
        <v>-73.984660000000005</v>
      </c>
      <c r="G73" s="1">
        <f t="shared" si="23"/>
        <v>-1.5398629837971751</v>
      </c>
      <c r="H73" s="1">
        <f t="shared" si="24"/>
        <v>0.56472292156549009</v>
      </c>
      <c r="I73" s="1">
        <f t="shared" si="25"/>
        <v>-1.291275912968548</v>
      </c>
      <c r="J73" s="1">
        <f t="shared" si="26"/>
        <v>0.2287127832340235</v>
      </c>
      <c r="K73" s="1">
        <f t="shared" si="27"/>
        <v>-0.52296674475226201</v>
      </c>
      <c r="L73" s="1">
        <f t="shared" si="28"/>
        <v>0.12915935114729238</v>
      </c>
      <c r="O73"/>
      <c r="P73" s="1">
        <v>2.366333</v>
      </c>
      <c r="Q73" s="1">
        <v>0.57171680000000002</v>
      </c>
      <c r="R73" s="1">
        <v>-98.219189999999998</v>
      </c>
      <c r="S73" s="1">
        <v>48.464869999999998</v>
      </c>
      <c r="T73" s="1">
        <v>-109.82040000000001</v>
      </c>
      <c r="U73"/>
      <c r="V73" s="1">
        <f t="shared" si="29"/>
        <v>-1.7142482541418893</v>
      </c>
      <c r="W73" s="1">
        <f t="shared" si="30"/>
        <v>0.84587155305102424</v>
      </c>
      <c r="X73" s="1">
        <f t="shared" si="31"/>
        <v>-1.9167275658571807</v>
      </c>
      <c r="Y73" s="1">
        <f t="shared" si="32"/>
        <v>19.62827235</v>
      </c>
      <c r="Z73" s="1">
        <f t="shared" si="33"/>
        <v>-44.477262000000003</v>
      </c>
      <c r="AA73" s="1">
        <f>(0.405*(H73^2))</f>
        <v>0.12915935114729238</v>
      </c>
      <c r="AE73" s="1">
        <v>2.3330669999999998</v>
      </c>
      <c r="AF73" s="1">
        <v>1.0333909999999999</v>
      </c>
      <c r="AG73" s="1">
        <v>-83.156000000000006</v>
      </c>
      <c r="AH73" s="1">
        <v>90.167810000000003</v>
      </c>
      <c r="AI73" s="1">
        <v>-237.29740000000001</v>
      </c>
      <c r="AK73" s="1">
        <f t="shared" si="34"/>
        <v>-1.4513459927884049</v>
      </c>
      <c r="AL73" s="1">
        <f t="shared" si="35"/>
        <v>1.5737251638126681</v>
      </c>
      <c r="AM73" s="1">
        <f t="shared" si="36"/>
        <v>-4.141620936421992</v>
      </c>
      <c r="AN73" s="1">
        <f t="shared" si="37"/>
        <v>36.517963050000006</v>
      </c>
      <c r="AO73" s="1">
        <f t="shared" si="38"/>
        <v>-96.105447000000012</v>
      </c>
      <c r="AP73" s="1">
        <f t="shared" si="39"/>
        <v>1.0030274109429698</v>
      </c>
      <c r="AT73" s="1">
        <v>2.4663439999999999</v>
      </c>
      <c r="AU73" s="1">
        <v>1.295825</v>
      </c>
      <c r="AV73" s="1">
        <v>-73.841009999999997</v>
      </c>
      <c r="AW73" s="1">
        <v>108.6619</v>
      </c>
      <c r="AX73" s="1">
        <v>-340.976</v>
      </c>
      <c r="AZ73" s="1">
        <f t="shared" si="40"/>
        <v>-1.288768747498058</v>
      </c>
      <c r="BA73" s="1">
        <f t="shared" si="41"/>
        <v>1.8965079264728264</v>
      </c>
      <c r="BB73" s="1">
        <f t="shared" si="42"/>
        <v>-5.9511538702801845</v>
      </c>
      <c r="BC73" s="1">
        <f t="shared" si="43"/>
        <v>44.008069500000005</v>
      </c>
      <c r="BD73" s="1">
        <f t="shared" si="44"/>
        <v>-138.09528</v>
      </c>
      <c r="BE73" s="1">
        <f t="shared" si="45"/>
        <v>1.4566806376455752</v>
      </c>
    </row>
    <row r="74" spans="1:57" x14ac:dyDescent="0.3">
      <c r="A74" s="1">
        <v>2.3663439999999998</v>
      </c>
      <c r="B74" s="1">
        <v>0.34553</v>
      </c>
      <c r="C74" s="1">
        <v>-87.203270000000003</v>
      </c>
      <c r="D74" s="1">
        <v>29.38036</v>
      </c>
      <c r="E74" s="1">
        <v>-98.937340000000006</v>
      </c>
      <c r="G74" s="1">
        <f t="shared" si="23"/>
        <v>-1.5219841800055955</v>
      </c>
      <c r="H74" s="1">
        <f t="shared" si="24"/>
        <v>0.51278401742124124</v>
      </c>
      <c r="I74" s="1">
        <f t="shared" si="25"/>
        <v>-1.7267823361650867</v>
      </c>
      <c r="J74" s="1">
        <f t="shared" si="26"/>
        <v>0.20767752705560272</v>
      </c>
      <c r="K74" s="1">
        <f t="shared" si="27"/>
        <v>-0.69934684614686016</v>
      </c>
      <c r="L74" s="1">
        <f t="shared" si="28"/>
        <v>0.10649371665168048</v>
      </c>
      <c r="O74"/>
      <c r="P74" s="1">
        <v>2.399667</v>
      </c>
      <c r="Q74" s="1">
        <v>0.3732974</v>
      </c>
      <c r="R74" s="1">
        <v>-96.407989999999998</v>
      </c>
      <c r="S74" s="1">
        <v>31.640149999999998</v>
      </c>
      <c r="T74" s="1">
        <v>-29.550329999999999</v>
      </c>
      <c r="U74"/>
      <c r="V74" s="1">
        <f t="shared" si="29"/>
        <v>-1.682636850729768</v>
      </c>
      <c r="W74" s="1">
        <f t="shared" si="30"/>
        <v>0.55222479332488383</v>
      </c>
      <c r="X74" s="1">
        <f t="shared" si="31"/>
        <v>-0.51575055355085597</v>
      </c>
      <c r="Y74" s="1">
        <f t="shared" si="32"/>
        <v>12.814260750000001</v>
      </c>
      <c r="Z74" s="1">
        <f t="shared" si="33"/>
        <v>-11.967883650000001</v>
      </c>
      <c r="AA74" s="1">
        <f>(0.405*(H74^2))</f>
        <v>0.10649371665168048</v>
      </c>
      <c r="AE74" s="1">
        <v>2.366333</v>
      </c>
      <c r="AF74" s="1">
        <v>0.9872708</v>
      </c>
      <c r="AG74" s="1">
        <v>-80.364930000000001</v>
      </c>
      <c r="AH74" s="1">
        <v>86.136369999999999</v>
      </c>
      <c r="AI74" s="1">
        <v>-108.4924</v>
      </c>
      <c r="AK74" s="1">
        <f t="shared" si="34"/>
        <v>-1.4026326316347666</v>
      </c>
      <c r="AL74" s="1">
        <f t="shared" si="35"/>
        <v>1.503363262216068</v>
      </c>
      <c r="AM74" s="1">
        <f t="shared" si="36"/>
        <v>-1.8935495933906961</v>
      </c>
      <c r="AN74" s="1">
        <f t="shared" si="37"/>
        <v>34.885229850000002</v>
      </c>
      <c r="AO74" s="1">
        <f t="shared" si="38"/>
        <v>-43.939422000000008</v>
      </c>
      <c r="AP74" s="1">
        <f t="shared" si="39"/>
        <v>0.91534094476327987</v>
      </c>
      <c r="AT74" s="1">
        <v>2.4996559999999999</v>
      </c>
      <c r="AU74" s="1">
        <v>1.112797</v>
      </c>
      <c r="AV74" s="1">
        <v>-70.537419999999997</v>
      </c>
      <c r="AW74" s="1">
        <v>93.268060000000006</v>
      </c>
      <c r="AX74" s="1">
        <v>-1029.596</v>
      </c>
      <c r="AZ74" s="1">
        <f t="shared" si="40"/>
        <v>-1.2311102248620984</v>
      </c>
      <c r="BA74" s="1">
        <f t="shared" si="41"/>
        <v>1.6278347339476227</v>
      </c>
      <c r="BB74" s="1">
        <f t="shared" si="42"/>
        <v>-17.969840165363539</v>
      </c>
      <c r="BC74" s="1">
        <f t="shared" si="43"/>
        <v>37.773564300000004</v>
      </c>
      <c r="BD74" s="1">
        <f t="shared" si="44"/>
        <v>-416.98638000000005</v>
      </c>
      <c r="BE74" s="1">
        <f t="shared" si="45"/>
        <v>1.0731875980237628</v>
      </c>
    </row>
    <row r="75" spans="1:57" x14ac:dyDescent="0.3">
      <c r="A75" s="1">
        <v>2.399667</v>
      </c>
      <c r="B75" s="1">
        <v>0.30477460000000001</v>
      </c>
      <c r="C75" s="1">
        <v>-86.26961</v>
      </c>
      <c r="D75" s="1">
        <v>25.91516</v>
      </c>
      <c r="E75" s="1">
        <v>-246.71950000000001</v>
      </c>
      <c r="G75" s="1">
        <f t="shared" si="23"/>
        <v>-1.5056887389114251</v>
      </c>
      <c r="H75" s="1">
        <f t="shared" si="24"/>
        <v>0.45230486818113369</v>
      </c>
      <c r="I75" s="1">
        <f t="shared" si="25"/>
        <v>-4.3060676038741503</v>
      </c>
      <c r="J75" s="1">
        <f t="shared" si="26"/>
        <v>0.18318347161335916</v>
      </c>
      <c r="K75" s="1">
        <f t="shared" si="27"/>
        <v>-1.7439573795690311</v>
      </c>
      <c r="L75" s="1">
        <f t="shared" si="28"/>
        <v>8.2854775981042864E-2</v>
      </c>
      <c r="O75"/>
      <c r="P75" s="1">
        <v>2.4329890000000001</v>
      </c>
      <c r="Q75" s="1">
        <v>0.41727779999999998</v>
      </c>
      <c r="R75" s="1">
        <v>-96.110200000000006</v>
      </c>
      <c r="S75" s="1">
        <v>35.39676</v>
      </c>
      <c r="T75" s="1">
        <v>305.36829999999998</v>
      </c>
      <c r="U75"/>
      <c r="V75" s="1">
        <f t="shared" si="29"/>
        <v>-1.6774394347502541</v>
      </c>
      <c r="W75" s="1">
        <f t="shared" si="30"/>
        <v>0.61779000653822802</v>
      </c>
      <c r="X75" s="1">
        <f t="shared" si="31"/>
        <v>5.3296822662177998</v>
      </c>
      <c r="Y75" s="1">
        <f t="shared" si="32"/>
        <v>14.335687800000001</v>
      </c>
      <c r="Z75" s="1">
        <f t="shared" si="33"/>
        <v>123.6741615</v>
      </c>
      <c r="AA75" s="1">
        <f>(0.405*(H75^2))</f>
        <v>8.2854775981042864E-2</v>
      </c>
      <c r="AE75" s="1">
        <v>2.3996780000000002</v>
      </c>
      <c r="AF75" s="1">
        <v>0.97479629999999995</v>
      </c>
      <c r="AG75" s="1">
        <v>-77.418360000000007</v>
      </c>
      <c r="AH75" s="1">
        <v>84.991410000000002</v>
      </c>
      <c r="AI75" s="1">
        <v>-706.73929999999996</v>
      </c>
      <c r="AK75" s="1">
        <f t="shared" si="34"/>
        <v>-1.3512052834942774</v>
      </c>
      <c r="AL75" s="1">
        <f t="shared" si="35"/>
        <v>1.4833799404124337</v>
      </c>
      <c r="AM75" s="1">
        <f t="shared" si="36"/>
        <v>-12.33492773823996</v>
      </c>
      <c r="AN75" s="1">
        <f t="shared" si="37"/>
        <v>34.421521050000003</v>
      </c>
      <c r="AO75" s="1">
        <f t="shared" si="38"/>
        <v>-286.22941650000001</v>
      </c>
      <c r="AP75" s="1">
        <f t="shared" si="39"/>
        <v>0.89116849928528818</v>
      </c>
      <c r="AT75" s="1">
        <v>2.532978</v>
      </c>
      <c r="AU75" s="1">
        <v>0.54479639999999996</v>
      </c>
      <c r="AV75" s="1">
        <v>-67.626249999999999</v>
      </c>
      <c r="AW75" s="1">
        <v>45.641210000000001</v>
      </c>
      <c r="AX75" s="1">
        <v>-1173.2280000000001</v>
      </c>
      <c r="AZ75" s="1">
        <f t="shared" si="40"/>
        <v>-1.1803007232768152</v>
      </c>
      <c r="BA75" s="1">
        <f t="shared" si="41"/>
        <v>0.79658938909416122</v>
      </c>
      <c r="BB75" s="1">
        <f t="shared" si="42"/>
        <v>-20.476691476588034</v>
      </c>
      <c r="BC75" s="1">
        <f t="shared" si="43"/>
        <v>18.484690050000001</v>
      </c>
      <c r="BD75" s="1">
        <f t="shared" si="44"/>
        <v>-475.15734000000003</v>
      </c>
      <c r="BE75" s="1">
        <f t="shared" si="45"/>
        <v>0.25699463520105065</v>
      </c>
    </row>
    <row r="76" spans="1:57" x14ac:dyDescent="0.3">
      <c r="A76" s="1">
        <v>2.4329890000000001</v>
      </c>
      <c r="B76" s="1">
        <v>0.1639053</v>
      </c>
      <c r="C76" s="1">
        <v>-85.476169999999996</v>
      </c>
      <c r="D76" s="1">
        <v>13.936400000000001</v>
      </c>
      <c r="E76" s="1">
        <v>-289.97269999999997</v>
      </c>
      <c r="G76" s="1">
        <f t="shared" si="23"/>
        <v>-1.4918405984944014</v>
      </c>
      <c r="H76" s="1">
        <f t="shared" si="24"/>
        <v>0.24323606587493773</v>
      </c>
      <c r="I76" s="1">
        <f t="shared" si="25"/>
        <v>-5.0609783558977606</v>
      </c>
      <c r="J76" s="1">
        <f t="shared" si="26"/>
        <v>9.8510606679349785E-2</v>
      </c>
      <c r="K76" s="1">
        <f t="shared" si="27"/>
        <v>-2.0496962341385934</v>
      </c>
      <c r="L76" s="1">
        <f t="shared" si="28"/>
        <v>2.3961332415638407E-2</v>
      </c>
      <c r="O76"/>
      <c r="P76" s="1">
        <v>2.4663219999999999</v>
      </c>
      <c r="Q76" s="1">
        <v>0.73821559999999997</v>
      </c>
      <c r="R76" s="1">
        <v>-94.048599999999993</v>
      </c>
      <c r="S76" s="1">
        <v>62.681049999999999</v>
      </c>
      <c r="T76" s="1">
        <v>505.3288</v>
      </c>
      <c r="U76"/>
      <c r="V76" s="1">
        <f t="shared" si="29"/>
        <v>-1.641457726891139</v>
      </c>
      <c r="W76" s="1">
        <f t="shared" si="30"/>
        <v>1.0939907011071917</v>
      </c>
      <c r="X76" s="1">
        <f t="shared" si="31"/>
        <v>8.8196513651519215</v>
      </c>
      <c r="Y76" s="1">
        <f t="shared" si="32"/>
        <v>25.38582525</v>
      </c>
      <c r="Z76" s="1">
        <f t="shared" si="33"/>
        <v>204.65816400000003</v>
      </c>
      <c r="AA76" s="1">
        <f>(0.405*(H76^2))</f>
        <v>2.3961332415638407E-2</v>
      </c>
      <c r="AE76" s="1">
        <v>2.4329999999999998</v>
      </c>
      <c r="AF76" s="1">
        <v>0.49566690000000002</v>
      </c>
      <c r="AG76" s="1">
        <v>-74.698840000000004</v>
      </c>
      <c r="AH76" s="1">
        <v>43.19773</v>
      </c>
      <c r="AI76" s="1">
        <v>-1045.8409999999999</v>
      </c>
      <c r="AK76" s="1">
        <f t="shared" si="34"/>
        <v>-1.3037407054204411</v>
      </c>
      <c r="AL76" s="1">
        <f t="shared" si="35"/>
        <v>0.75394261788753014</v>
      </c>
      <c r="AM76" s="1">
        <f t="shared" si="36"/>
        <v>-18.253368902350015</v>
      </c>
      <c r="AN76" s="1">
        <f t="shared" si="37"/>
        <v>17.495080650000002</v>
      </c>
      <c r="AO76" s="1">
        <f t="shared" si="38"/>
        <v>-423.56560500000001</v>
      </c>
      <c r="AP76" s="1">
        <f t="shared" si="39"/>
        <v>0.23021393578217644</v>
      </c>
      <c r="AT76" s="1">
        <v>2.5663330000000002</v>
      </c>
      <c r="AU76" s="1">
        <v>4.7317280000000003E-2</v>
      </c>
      <c r="AV76" s="1">
        <v>-67.494159999999994</v>
      </c>
      <c r="AW76" s="1">
        <v>3.9622030000000001</v>
      </c>
      <c r="AX76" s="1">
        <v>-714.85109999999997</v>
      </c>
      <c r="AZ76" s="1">
        <f t="shared" si="40"/>
        <v>-1.1779953178678559</v>
      </c>
      <c r="BA76" s="1">
        <f t="shared" si="41"/>
        <v>6.9153487982396886E-2</v>
      </c>
      <c r="BB76" s="1">
        <f t="shared" si="42"/>
        <v>-12.476505356503235</v>
      </c>
      <c r="BC76" s="1">
        <f t="shared" si="43"/>
        <v>1.6046922150000003</v>
      </c>
      <c r="BD76" s="1">
        <f t="shared" si="44"/>
        <v>-289.51469550000002</v>
      </c>
      <c r="BE76" s="1">
        <f t="shared" si="45"/>
        <v>1.9367929845532617E-3</v>
      </c>
    </row>
    <row r="77" spans="1:57" x14ac:dyDescent="0.3">
      <c r="A77" s="1">
        <v>2.4663219999999999</v>
      </c>
      <c r="B77" s="1">
        <v>4.7849610000000001E-2</v>
      </c>
      <c r="C77" s="1">
        <v>-85.340670000000003</v>
      </c>
      <c r="D77" s="1">
        <v>4.0660790000000002</v>
      </c>
      <c r="E77" s="1">
        <v>-169.19749999999999</v>
      </c>
      <c r="G77" s="1">
        <f t="shared" si="23"/>
        <v>-1.4894756773579492</v>
      </c>
      <c r="H77" s="1">
        <f t="shared" si="24"/>
        <v>7.0966466196198522E-2</v>
      </c>
      <c r="I77" s="1">
        <f t="shared" si="25"/>
        <v>-2.9530534611431056</v>
      </c>
      <c r="J77" s="1">
        <f t="shared" si="26"/>
        <v>2.8741418809460403E-2</v>
      </c>
      <c r="K77" s="1">
        <f t="shared" si="27"/>
        <v>-1.1959866517629578</v>
      </c>
      <c r="L77" s="1">
        <f t="shared" si="28"/>
        <v>2.0396769263723562E-3</v>
      </c>
      <c r="O77"/>
      <c r="P77" s="1">
        <v>2.499644</v>
      </c>
      <c r="Q77" s="1">
        <v>0.76859889999999997</v>
      </c>
      <c r="R77" s="1">
        <v>-91.932159999999996</v>
      </c>
      <c r="S77" s="1">
        <v>65.286749999999998</v>
      </c>
      <c r="T77" s="1">
        <v>49.590440000000001</v>
      </c>
      <c r="U77"/>
      <c r="V77" s="1">
        <f t="shared" si="29"/>
        <v>-1.6045188804702302</v>
      </c>
      <c r="W77" s="1">
        <f t="shared" si="30"/>
        <v>1.1394687454264079</v>
      </c>
      <c r="X77" s="1">
        <f t="shared" si="31"/>
        <v>0.86551645551269685</v>
      </c>
      <c r="Y77" s="1">
        <f t="shared" si="32"/>
        <v>26.441133750000002</v>
      </c>
      <c r="Z77" s="1">
        <f t="shared" si="33"/>
        <v>20.084128200000002</v>
      </c>
      <c r="AA77" s="1">
        <f>(0.405*(H77^2))</f>
        <v>2.0396769263723562E-3</v>
      </c>
      <c r="AE77" s="1">
        <v>2.4663219999999999</v>
      </c>
      <c r="AF77" s="1">
        <v>5.541488E-2</v>
      </c>
      <c r="AG77" s="1">
        <v>-74.539469999999994</v>
      </c>
      <c r="AH77" s="1">
        <v>4.7828369999999998</v>
      </c>
      <c r="AI77" s="1">
        <v>-658.57709999999997</v>
      </c>
      <c r="AK77" s="1">
        <f t="shared" si="34"/>
        <v>-1.3009591741915376</v>
      </c>
      <c r="AL77" s="1">
        <f t="shared" si="35"/>
        <v>8.3476253236208026E-2</v>
      </c>
      <c r="AM77" s="1">
        <f t="shared" si="36"/>
        <v>-11.494338773235947</v>
      </c>
      <c r="AN77" s="1">
        <f t="shared" si="37"/>
        <v>1.9370489850000001</v>
      </c>
      <c r="AO77" s="1">
        <f t="shared" si="38"/>
        <v>-266.7237255</v>
      </c>
      <c r="AP77" s="1">
        <f t="shared" si="39"/>
        <v>2.8221553660139902E-3</v>
      </c>
      <c r="AT77" s="1">
        <v>2.599656</v>
      </c>
      <c r="AU77" s="1">
        <v>4.7348840000000003E-2</v>
      </c>
      <c r="AV77" s="1">
        <v>-67.36206</v>
      </c>
      <c r="AW77" s="1">
        <v>3.9651299999999998</v>
      </c>
      <c r="AX77" s="1">
        <v>7.8960639999999995E-3</v>
      </c>
      <c r="AZ77" s="1">
        <f t="shared" si="40"/>
        <v>-1.1756897379259714</v>
      </c>
      <c r="BA77" s="1">
        <f t="shared" si="41"/>
        <v>6.9204573769602762E-2</v>
      </c>
      <c r="BB77" s="1">
        <f t="shared" si="42"/>
        <v>1.3781231474819353E-4</v>
      </c>
      <c r="BC77" s="1">
        <f t="shared" si="43"/>
        <v>1.60587765</v>
      </c>
      <c r="BD77" s="1">
        <f t="shared" si="44"/>
        <v>3.1979059199999998E-3</v>
      </c>
      <c r="BE77" s="1">
        <f t="shared" si="45"/>
        <v>1.9396555774061183E-3</v>
      </c>
    </row>
    <row r="78" spans="1:57" x14ac:dyDescent="0.3">
      <c r="A78" s="1">
        <v>2.499644</v>
      </c>
      <c r="B78" s="1">
        <v>4.7841630000000003E-2</v>
      </c>
      <c r="C78" s="1">
        <v>-85.20514</v>
      </c>
      <c r="D78" s="1">
        <v>4.0660270000000001</v>
      </c>
      <c r="E78" s="1">
        <v>1.8101119999999998E-2</v>
      </c>
      <c r="G78" s="1">
        <f t="shared" si="23"/>
        <v>-1.4871102326227212</v>
      </c>
      <c r="H78" s="1">
        <f t="shared" si="24"/>
        <v>7.0965558624987476E-2</v>
      </c>
      <c r="I78" s="1">
        <f t="shared" si="25"/>
        <v>3.1592414229859595E-4</v>
      </c>
      <c r="J78" s="1">
        <f t="shared" si="26"/>
        <v>2.8741051243119931E-2</v>
      </c>
      <c r="K78" s="1">
        <f t="shared" si="27"/>
        <v>1.2794927763093138E-4</v>
      </c>
      <c r="L78" s="1">
        <f t="shared" si="28"/>
        <v>2.0396247569373967E-3</v>
      </c>
      <c r="O78"/>
      <c r="P78" s="1">
        <v>2.5329670000000002</v>
      </c>
      <c r="Q78" s="1">
        <v>0.78191699999999997</v>
      </c>
      <c r="R78" s="1">
        <v>-89.697599999999994</v>
      </c>
      <c r="S78" s="1">
        <v>66.438149999999993</v>
      </c>
      <c r="T78" s="1">
        <v>-35.088709999999999</v>
      </c>
      <c r="U78"/>
      <c r="V78" s="1">
        <f t="shared" si="29"/>
        <v>-1.5655184511368654</v>
      </c>
      <c r="W78" s="1">
        <f t="shared" si="30"/>
        <v>1.1595644664338705</v>
      </c>
      <c r="X78" s="1">
        <f t="shared" si="31"/>
        <v>-0.6124135197774595</v>
      </c>
      <c r="Y78" s="1">
        <f t="shared" si="32"/>
        <v>26.907450749999999</v>
      </c>
      <c r="Z78" s="1">
        <f t="shared" si="33"/>
        <v>-14.210927550000001</v>
      </c>
      <c r="AA78" s="1">
        <f>(0.405*(H78^2))</f>
        <v>2.0396247569373967E-3</v>
      </c>
      <c r="AE78" s="1">
        <v>2.4996670000000001</v>
      </c>
      <c r="AF78" s="1">
        <v>5.542412E-2</v>
      </c>
      <c r="AG78" s="1">
        <v>-74.379980000000003</v>
      </c>
      <c r="AH78" s="1">
        <v>4.7872440000000003</v>
      </c>
      <c r="AI78" s="1">
        <v>0.10722660000000001</v>
      </c>
      <c r="AK78" s="1">
        <f t="shared" si="34"/>
        <v>-1.2981755485675319</v>
      </c>
      <c r="AL78" s="1">
        <f t="shared" si="35"/>
        <v>8.3553169896343427E-2</v>
      </c>
      <c r="AM78" s="1">
        <f t="shared" si="36"/>
        <v>1.8714572157189518E-3</v>
      </c>
      <c r="AN78" s="1">
        <f t="shared" si="37"/>
        <v>1.9388338200000002</v>
      </c>
      <c r="AO78" s="1">
        <f t="shared" si="38"/>
        <v>4.3426773000000002E-2</v>
      </c>
      <c r="AP78" s="1">
        <f t="shared" si="39"/>
        <v>2.8273585408895283E-3</v>
      </c>
      <c r="AT78" s="1">
        <v>2.6329669999999998</v>
      </c>
      <c r="AU78" s="1">
        <v>4.734095E-2</v>
      </c>
      <c r="AV78" s="1">
        <v>-67.229950000000002</v>
      </c>
      <c r="AW78" s="1">
        <v>3.9647109999999999</v>
      </c>
      <c r="AX78" s="1">
        <v>6.6356339999999996E-3</v>
      </c>
      <c r="AZ78" s="1">
        <f t="shared" si="40"/>
        <v>-1.1733839834511619</v>
      </c>
      <c r="BA78" s="1">
        <f t="shared" si="41"/>
        <v>6.9197260840036898E-2</v>
      </c>
      <c r="BB78" s="1">
        <f t="shared" si="42"/>
        <v>1.158136612572814E-4</v>
      </c>
      <c r="BC78" s="1">
        <f t="shared" si="43"/>
        <v>1.605707955</v>
      </c>
      <c r="BD78" s="1">
        <f t="shared" si="44"/>
        <v>2.6874317700000001E-3</v>
      </c>
      <c r="BE78" s="1">
        <f t="shared" si="45"/>
        <v>1.9392456676444623E-3</v>
      </c>
    </row>
    <row r="79" spans="1:57" x14ac:dyDescent="0.3">
      <c r="A79" s="1">
        <v>2.5329890000000002</v>
      </c>
      <c r="B79" s="1">
        <v>4.7841630000000003E-2</v>
      </c>
      <c r="C79" s="1">
        <v>-85.069599999999994</v>
      </c>
      <c r="D79" s="1">
        <v>4.0666079999999996</v>
      </c>
      <c r="E79" s="1">
        <v>1.674202E-2</v>
      </c>
      <c r="G79" s="1">
        <f t="shared" si="23"/>
        <v>-1.4847446133545681</v>
      </c>
      <c r="H79" s="1">
        <f t="shared" si="24"/>
        <v>7.0975698987941552E-2</v>
      </c>
      <c r="I79" s="1">
        <f t="shared" si="25"/>
        <v>2.9220337243474108E-4</v>
      </c>
      <c r="J79" s="1">
        <f t="shared" si="26"/>
        <v>2.8745158090116331E-2</v>
      </c>
      <c r="K79" s="1">
        <f t="shared" si="27"/>
        <v>1.1834236583607015E-4</v>
      </c>
      <c r="L79" s="1">
        <f t="shared" si="28"/>
        <v>2.0402076879648895E-3</v>
      </c>
      <c r="O79"/>
      <c r="P79" s="1">
        <v>2.566322</v>
      </c>
      <c r="Q79" s="1">
        <v>0.73998660000000005</v>
      </c>
      <c r="R79" s="1">
        <v>-87.502210000000005</v>
      </c>
      <c r="S79" s="1">
        <v>62.903460000000003</v>
      </c>
      <c r="T79" s="1">
        <v>-101.4</v>
      </c>
      <c r="U79"/>
      <c r="V79" s="1">
        <f t="shared" si="29"/>
        <v>-1.5272016672715074</v>
      </c>
      <c r="W79" s="1">
        <f t="shared" si="30"/>
        <v>1.0978724878965525</v>
      </c>
      <c r="X79" s="1">
        <f t="shared" si="31"/>
        <v>-1.7697638615222502</v>
      </c>
      <c r="Y79" s="1">
        <f t="shared" si="32"/>
        <v>25.475901300000004</v>
      </c>
      <c r="Z79" s="1">
        <f t="shared" si="33"/>
        <v>-41.067000000000007</v>
      </c>
      <c r="AA79" s="1">
        <f>(0.405*(H79^2))</f>
        <v>2.0402076879648895E-3</v>
      </c>
      <c r="AE79" s="1">
        <v>2.532978</v>
      </c>
      <c r="AF79" s="1">
        <v>5.541488E-2</v>
      </c>
      <c r="AG79" s="1">
        <v>-74.220380000000006</v>
      </c>
      <c r="AH79" s="1">
        <v>4.7899849999999997</v>
      </c>
      <c r="AI79" s="1">
        <v>0.1051501</v>
      </c>
      <c r="AK79" s="1">
        <f t="shared" si="34"/>
        <v>-1.295390003081349</v>
      </c>
      <c r="AL79" s="1">
        <f t="shared" si="35"/>
        <v>8.3601009371140581E-2</v>
      </c>
      <c r="AM79" s="1">
        <f t="shared" si="36"/>
        <v>1.8352154538012894E-3</v>
      </c>
      <c r="AN79" s="1">
        <f t="shared" si="37"/>
        <v>1.9399439249999999</v>
      </c>
      <c r="AO79" s="1">
        <f t="shared" si="38"/>
        <v>4.2585790499999998E-2</v>
      </c>
      <c r="AP79" s="1">
        <f t="shared" si="39"/>
        <v>2.830597150988782E-3</v>
      </c>
      <c r="AT79" s="1">
        <v>2.6663000000000001</v>
      </c>
      <c r="AU79" s="1">
        <v>4.7333050000000002E-2</v>
      </c>
      <c r="AV79" s="1">
        <v>-67.097830000000002</v>
      </c>
      <c r="AW79" s="1">
        <v>3.9642499999999998</v>
      </c>
      <c r="AX79" s="1">
        <v>5.3681450000000004E-3</v>
      </c>
      <c r="AZ79" s="1">
        <f t="shared" si="40"/>
        <v>-1.1710780544434269</v>
      </c>
      <c r="BA79" s="1">
        <f t="shared" si="41"/>
        <v>6.9189214872185212E-2</v>
      </c>
      <c r="BB79" s="1">
        <f t="shared" si="42"/>
        <v>9.3691804974471E-5</v>
      </c>
      <c r="BC79" s="1">
        <f t="shared" si="43"/>
        <v>1.60552125</v>
      </c>
      <c r="BD79" s="1">
        <f t="shared" si="44"/>
        <v>2.1740987250000003E-3</v>
      </c>
      <c r="BE79" s="1">
        <f t="shared" si="45"/>
        <v>1.9387947191249132E-3</v>
      </c>
    </row>
    <row r="80" spans="1:57" x14ac:dyDescent="0.3">
      <c r="A80" s="1">
        <v>2.5663109999999998</v>
      </c>
      <c r="B80" s="1">
        <v>4.7857589999999998E-2</v>
      </c>
      <c r="C80" s="1">
        <v>-84.934039999999996</v>
      </c>
      <c r="D80" s="1">
        <v>4.0684990000000001</v>
      </c>
      <c r="E80" s="1">
        <v>1.537877E-2</v>
      </c>
      <c r="G80" s="1">
        <f t="shared" si="23"/>
        <v>-1.4823786450205647</v>
      </c>
      <c r="H80" s="1">
        <f t="shared" si="24"/>
        <v>7.100870316409677E-2</v>
      </c>
      <c r="I80" s="1">
        <f t="shared" si="25"/>
        <v>2.6841017140692832E-4</v>
      </c>
      <c r="J80" s="1">
        <f t="shared" si="26"/>
        <v>2.8758524781459193E-2</v>
      </c>
      <c r="K80" s="1">
        <f t="shared" si="27"/>
        <v>1.0870611941980598E-4</v>
      </c>
      <c r="L80" s="1">
        <f t="shared" si="28"/>
        <v>2.0421055496439569E-3</v>
      </c>
      <c r="O80"/>
      <c r="P80" s="1">
        <v>2.599656</v>
      </c>
      <c r="Q80" s="1">
        <v>0.69515979999999999</v>
      </c>
      <c r="R80" s="1">
        <v>-85.50264</v>
      </c>
      <c r="S80" s="1">
        <v>59.097059999999999</v>
      </c>
      <c r="T80" s="1">
        <v>-125.9071</v>
      </c>
      <c r="U80"/>
      <c r="V80" s="1">
        <f t="shared" si="29"/>
        <v>-1.4923025871474045</v>
      </c>
      <c r="W80" s="1">
        <f t="shared" si="30"/>
        <v>1.0314382752486402</v>
      </c>
      <c r="X80" s="1">
        <f t="shared" si="31"/>
        <v>-2.1974934466377523</v>
      </c>
      <c r="Y80" s="1">
        <f t="shared" si="32"/>
        <v>23.934309300000002</v>
      </c>
      <c r="Z80" s="1">
        <f t="shared" si="33"/>
        <v>-50.992375500000001</v>
      </c>
      <c r="AA80" s="1">
        <f>(0.405*(H80^2))</f>
        <v>2.0421055496439569E-3</v>
      </c>
      <c r="AE80" s="1">
        <v>2.5663330000000002</v>
      </c>
      <c r="AF80" s="1">
        <v>5.542412E-2</v>
      </c>
      <c r="AG80" s="1">
        <v>-74.060649999999995</v>
      </c>
      <c r="AH80" s="1">
        <v>4.7942530000000003</v>
      </c>
      <c r="AI80" s="1">
        <v>0.1030109</v>
      </c>
      <c r="AK80" s="1">
        <f t="shared" si="34"/>
        <v>-1.2926021886671384</v>
      </c>
      <c r="AL80" s="1">
        <f t="shared" si="35"/>
        <v>8.3675500023615706E-2</v>
      </c>
      <c r="AM80" s="1">
        <f t="shared" si="36"/>
        <v>1.7978793704426269E-3</v>
      </c>
      <c r="AN80" s="1">
        <f t="shared" si="37"/>
        <v>1.9416724650000003</v>
      </c>
      <c r="AO80" s="1">
        <f t="shared" si="38"/>
        <v>4.1719414500000003E-2</v>
      </c>
      <c r="AP80" s="1">
        <f t="shared" si="39"/>
        <v>2.8356436682018555E-3</v>
      </c>
      <c r="AT80" s="1">
        <v>2.6996220000000002</v>
      </c>
      <c r="AU80" s="1">
        <v>4.7317280000000003E-2</v>
      </c>
      <c r="AV80" s="1">
        <v>-66.965710000000001</v>
      </c>
      <c r="AW80" s="1">
        <v>3.9630869999999998</v>
      </c>
      <c r="AX80" s="1">
        <v>4.1036320000000003E-3</v>
      </c>
      <c r="AZ80" s="1">
        <f t="shared" si="40"/>
        <v>-1.168772125435692</v>
      </c>
      <c r="BA80" s="1">
        <f t="shared" si="41"/>
        <v>6.9168916692984514E-2</v>
      </c>
      <c r="BB80" s="1">
        <f t="shared" si="42"/>
        <v>7.1621889690199941E-5</v>
      </c>
      <c r="BC80" s="1">
        <f t="shared" si="43"/>
        <v>1.605050235</v>
      </c>
      <c r="BD80" s="1">
        <f t="shared" si="44"/>
        <v>1.6619709600000003E-3</v>
      </c>
      <c r="BE80" s="1">
        <f t="shared" si="45"/>
        <v>1.9376573097748182E-3</v>
      </c>
    </row>
    <row r="81" spans="1:57" x14ac:dyDescent="0.3">
      <c r="A81" s="1">
        <v>2.5996329999999999</v>
      </c>
      <c r="B81" s="1">
        <v>4.7857589999999998E-2</v>
      </c>
      <c r="C81" s="1">
        <v>-84.798460000000006</v>
      </c>
      <c r="D81" s="1">
        <v>4.0689890000000002</v>
      </c>
      <c r="E81" s="1">
        <v>1.4016829999999999E-2</v>
      </c>
      <c r="G81" s="1">
        <f t="shared" si="23"/>
        <v>-1.4800123276207109</v>
      </c>
      <c r="H81" s="1">
        <f t="shared" si="24"/>
        <v>7.1017255277431551E-2</v>
      </c>
      <c r="I81" s="1">
        <f t="shared" si="25"/>
        <v>2.4463983419231679E-4</v>
      </c>
      <c r="J81" s="1">
        <f t="shared" si="26"/>
        <v>2.8761988387359782E-2</v>
      </c>
      <c r="K81" s="1">
        <f t="shared" si="27"/>
        <v>9.9079132847888307E-5</v>
      </c>
      <c r="L81" s="1">
        <f t="shared" si="28"/>
        <v>2.0425974715916513E-3</v>
      </c>
      <c r="O81"/>
      <c r="P81" s="1">
        <v>2.6329560000000001</v>
      </c>
      <c r="Q81" s="1">
        <v>0.6481673</v>
      </c>
      <c r="R81" s="1">
        <v>-83.56438</v>
      </c>
      <c r="S81" s="1">
        <v>55.128030000000003</v>
      </c>
      <c r="T81" s="1">
        <v>-134.2567</v>
      </c>
      <c r="U81"/>
      <c r="V81" s="1">
        <f t="shared" si="29"/>
        <v>-1.458473568387699</v>
      </c>
      <c r="W81" s="1">
        <f t="shared" si="30"/>
        <v>0.96216563363820962</v>
      </c>
      <c r="X81" s="1">
        <f t="shared" si="31"/>
        <v>-2.343221457862271</v>
      </c>
      <c r="Y81" s="1">
        <f t="shared" si="32"/>
        <v>22.326852150000004</v>
      </c>
      <c r="Z81" s="1">
        <f t="shared" si="33"/>
        <v>-54.373963500000002</v>
      </c>
      <c r="AA81" s="1">
        <f>(0.405*(H81^2))</f>
        <v>2.0425974715916513E-3</v>
      </c>
      <c r="AE81" s="1">
        <v>2.5996329999999999</v>
      </c>
      <c r="AF81" s="1">
        <v>5.542412E-2</v>
      </c>
      <c r="AG81" s="1">
        <v>-73.900810000000007</v>
      </c>
      <c r="AH81" s="1">
        <v>4.7976510000000001</v>
      </c>
      <c r="AI81" s="1">
        <v>0.10087989999999999</v>
      </c>
      <c r="AK81" s="1">
        <f t="shared" si="34"/>
        <v>-1.2898124543907508</v>
      </c>
      <c r="AL81" s="1">
        <f t="shared" si="35"/>
        <v>8.3734806311598464E-2</v>
      </c>
      <c r="AM81" s="1">
        <f t="shared" si="36"/>
        <v>1.7606864040826274E-3</v>
      </c>
      <c r="AN81" s="1">
        <f t="shared" si="37"/>
        <v>1.9430486550000001</v>
      </c>
      <c r="AO81" s="1">
        <f t="shared" si="38"/>
        <v>4.0856359500000002E-2</v>
      </c>
      <c r="AP81" s="1">
        <f t="shared" si="39"/>
        <v>2.839664704156569E-3</v>
      </c>
      <c r="AT81" s="1">
        <v>2.7329780000000001</v>
      </c>
      <c r="AU81" s="1">
        <v>4.732517E-2</v>
      </c>
      <c r="AV81" s="1">
        <v>-66.833579999999998</v>
      </c>
      <c r="AW81" s="1">
        <v>3.9638629999999999</v>
      </c>
      <c r="AX81" s="1">
        <v>2.8393310000000001E-3</v>
      </c>
      <c r="AZ81" s="1">
        <f t="shared" si="40"/>
        <v>-1.1664660218950318</v>
      </c>
      <c r="BA81" s="1">
        <f t="shared" si="41"/>
        <v>6.9182460447979988E-2</v>
      </c>
      <c r="BB81" s="1">
        <f t="shared" si="42"/>
        <v>4.9555674503943119E-5</v>
      </c>
      <c r="BC81" s="1">
        <f t="shared" si="43"/>
        <v>1.605364515</v>
      </c>
      <c r="BD81" s="1">
        <f t="shared" si="44"/>
        <v>1.1499290550000001E-3</v>
      </c>
      <c r="BE81" s="1">
        <f t="shared" si="45"/>
        <v>1.9384161976227078E-3</v>
      </c>
    </row>
    <row r="82" spans="1:57" x14ac:dyDescent="0.3">
      <c r="A82" s="1">
        <v>2.6329560000000001</v>
      </c>
      <c r="B82" s="1">
        <v>4.7849610000000001E-2</v>
      </c>
      <c r="C82" s="1">
        <v>-84.662859999999995</v>
      </c>
      <c r="D82" s="1">
        <v>4.0687550000000003</v>
      </c>
      <c r="E82" s="1">
        <v>-203.82679999999999</v>
      </c>
      <c r="G82" s="1">
        <f t="shared" si="23"/>
        <v>-1.4776456611550064</v>
      </c>
      <c r="H82" s="1">
        <f t="shared" si="24"/>
        <v>7.101317120698189E-2</v>
      </c>
      <c r="I82" s="1">
        <f t="shared" si="25"/>
        <v>-3.5574487638039778</v>
      </c>
      <c r="J82" s="1">
        <f t="shared" si="26"/>
        <v>2.8760334338827666E-2</v>
      </c>
      <c r="K82" s="1">
        <f t="shared" si="27"/>
        <v>-1.4407667493406111</v>
      </c>
      <c r="L82" s="1">
        <f t="shared" si="28"/>
        <v>2.0423625463732095E-3</v>
      </c>
      <c r="O82"/>
      <c r="P82" s="1">
        <v>2.6663109999999999</v>
      </c>
      <c r="Q82" s="1">
        <v>0.58440049999999999</v>
      </c>
      <c r="R82" s="1">
        <v>-81.828050000000005</v>
      </c>
      <c r="S82" s="1">
        <v>49.725230000000003</v>
      </c>
      <c r="T82" s="1">
        <v>-183.24180000000001</v>
      </c>
      <c r="U82"/>
      <c r="V82" s="1">
        <f t="shared" si="29"/>
        <v>-1.4281688929865459</v>
      </c>
      <c r="W82" s="1">
        <f t="shared" si="30"/>
        <v>0.86786898481145991</v>
      </c>
      <c r="X82" s="1">
        <f t="shared" si="31"/>
        <v>-3.1981727372809456</v>
      </c>
      <c r="Y82" s="1">
        <f t="shared" si="32"/>
        <v>20.138718150000003</v>
      </c>
      <c r="Z82" s="1">
        <f t="shared" si="33"/>
        <v>-74.212929000000017</v>
      </c>
      <c r="AA82" s="1">
        <f>(0.405*(H82^2))</f>
        <v>2.0423625463732095E-3</v>
      </c>
      <c r="AE82" s="1">
        <v>2.6329889999999998</v>
      </c>
      <c r="AF82" s="1">
        <v>5.541488E-2</v>
      </c>
      <c r="AG82" s="1">
        <v>-73.740859999999998</v>
      </c>
      <c r="AH82" s="1">
        <v>4.8001779999999998</v>
      </c>
      <c r="AI82" s="1">
        <v>9.8788940000000006E-2</v>
      </c>
      <c r="AK82" s="1">
        <f t="shared" si="34"/>
        <v>-1.2870208002521857</v>
      </c>
      <c r="AL82" s="1">
        <f t="shared" si="35"/>
        <v>8.3778910781796362E-2</v>
      </c>
      <c r="AM82" s="1">
        <f t="shared" si="36"/>
        <v>1.7241922675551272E-3</v>
      </c>
      <c r="AN82" s="1">
        <f t="shared" si="37"/>
        <v>1.9440720900000001</v>
      </c>
      <c r="AO82" s="1">
        <f t="shared" si="38"/>
        <v>4.0009520700000002E-2</v>
      </c>
      <c r="AP82" s="1">
        <f t="shared" si="39"/>
        <v>2.8426568861725991E-3</v>
      </c>
      <c r="AT82" s="1">
        <v>2.766289</v>
      </c>
      <c r="AU82" s="1">
        <v>4.7348840000000003E-2</v>
      </c>
      <c r="AV82" s="1">
        <v>-66.701449999999994</v>
      </c>
      <c r="AW82" s="1">
        <v>3.9659200000000001</v>
      </c>
      <c r="AX82" s="1">
        <v>-841.92899999999997</v>
      </c>
      <c r="AZ82" s="1">
        <f t="shared" si="40"/>
        <v>-1.1641599183543716</v>
      </c>
      <c r="BA82" s="1">
        <f t="shared" si="41"/>
        <v>6.9218361870693509E-2</v>
      </c>
      <c r="BB82" s="1">
        <f t="shared" si="42"/>
        <v>-14.694433118023337</v>
      </c>
      <c r="BC82" s="1">
        <f t="shared" si="43"/>
        <v>1.6061976000000002</v>
      </c>
      <c r="BD82" s="1">
        <f t="shared" si="44"/>
        <v>-340.981245</v>
      </c>
      <c r="BE82" s="1">
        <f t="shared" si="45"/>
        <v>1.9404285561252224E-3</v>
      </c>
    </row>
    <row r="83" spans="1:57" x14ac:dyDescent="0.3">
      <c r="A83" s="1">
        <v>2.6662889999999999</v>
      </c>
      <c r="B83" s="1">
        <v>9.1960970000000003E-2</v>
      </c>
      <c r="C83" s="1">
        <v>-84.527249999999995</v>
      </c>
      <c r="D83" s="1">
        <v>-7.8181940000000001</v>
      </c>
      <c r="E83" s="1">
        <v>-332.51479999999998</v>
      </c>
      <c r="G83" s="1">
        <f t="shared" si="23"/>
        <v>-1.4752788201563769</v>
      </c>
      <c r="H83" s="1">
        <f t="shared" si="24"/>
        <v>-0.13645322685966554</v>
      </c>
      <c r="I83" s="1">
        <f t="shared" si="25"/>
        <v>-5.8034780716104404</v>
      </c>
      <c r="J83" s="1">
        <f t="shared" si="26"/>
        <v>-5.5263556878164546E-2</v>
      </c>
      <c r="K83" s="1">
        <f t="shared" si="27"/>
        <v>-2.3504086190022284</v>
      </c>
      <c r="L83" s="1">
        <f t="shared" si="28"/>
        <v>7.5408906637682172E-3</v>
      </c>
      <c r="O83"/>
      <c r="P83" s="1">
        <v>2.6996220000000002</v>
      </c>
      <c r="Q83" s="1">
        <v>0.50839089999999998</v>
      </c>
      <c r="R83" s="1">
        <v>-80.249359999999996</v>
      </c>
      <c r="S83" s="1">
        <v>43.276249999999997</v>
      </c>
      <c r="U83"/>
      <c r="V83" s="1">
        <f t="shared" si="29"/>
        <v>-1.4006155546182366</v>
      </c>
      <c r="W83" s="1">
        <f t="shared" si="30"/>
        <v>0.7553130504161959</v>
      </c>
      <c r="X83" s="1">
        <f t="shared" si="31"/>
        <v>0</v>
      </c>
      <c r="Y83" s="1">
        <f t="shared" si="32"/>
        <v>17.526881249999999</v>
      </c>
      <c r="Z83" s="1">
        <f t="shared" si="33"/>
        <v>0</v>
      </c>
      <c r="AA83" s="1">
        <f>(0.405*(H83^2))</f>
        <v>7.5408906637682172E-3</v>
      </c>
      <c r="AE83" s="1">
        <v>2.6663000000000001</v>
      </c>
      <c r="AF83" s="1">
        <v>5.5442600000000002E-2</v>
      </c>
      <c r="AG83" s="1">
        <v>-73.580799999999996</v>
      </c>
      <c r="AH83" s="1">
        <v>4.8058360000000002</v>
      </c>
      <c r="AI83" s="1">
        <v>9.6590110000000007E-2</v>
      </c>
      <c r="AK83" s="1">
        <f t="shared" si="34"/>
        <v>-1.2842272262514436</v>
      </c>
      <c r="AL83" s="1">
        <f t="shared" si="35"/>
        <v>8.387766151087421E-2</v>
      </c>
      <c r="AM83" s="1">
        <f t="shared" si="36"/>
        <v>1.6858154443635E-3</v>
      </c>
      <c r="AN83" s="1">
        <f t="shared" si="37"/>
        <v>1.9463635800000003</v>
      </c>
      <c r="AO83" s="1">
        <f t="shared" si="38"/>
        <v>3.9118994550000008E-2</v>
      </c>
      <c r="AP83" s="1">
        <f t="shared" si="39"/>
        <v>2.8493621507157795E-3</v>
      </c>
      <c r="AT83" s="1">
        <v>2.7996110000000001</v>
      </c>
      <c r="AU83" s="1">
        <v>0.53882249999999998</v>
      </c>
      <c r="AV83" s="1">
        <v>-66.569320000000005</v>
      </c>
      <c r="AW83" s="1">
        <v>-45.147329999999997</v>
      </c>
      <c r="AX83" s="1">
        <v>-1270.1189999999999</v>
      </c>
      <c r="AZ83" s="1">
        <f t="shared" si="40"/>
        <v>-1.1618538148137116</v>
      </c>
      <c r="BA83" s="1">
        <f t="shared" si="41"/>
        <v>-0.78796955698441151</v>
      </c>
      <c r="BB83" s="1">
        <f t="shared" si="42"/>
        <v>-22.167758442137856</v>
      </c>
      <c r="BC83" s="1">
        <f t="shared" si="43"/>
        <v>-18.28466865</v>
      </c>
      <c r="BD83" s="1">
        <f t="shared" si="44"/>
        <v>-514.39819499999999</v>
      </c>
      <c r="BE83" s="1">
        <f t="shared" si="45"/>
        <v>0.25146288920735493</v>
      </c>
    </row>
    <row r="84" spans="1:57" x14ac:dyDescent="0.3">
      <c r="A84" s="1">
        <v>2.6996220000000002</v>
      </c>
      <c r="B84" s="1">
        <v>0.25004510000000002</v>
      </c>
      <c r="C84" s="1">
        <v>-85.184070000000006</v>
      </c>
      <c r="D84" s="1">
        <v>-21.268630000000002</v>
      </c>
      <c r="E84" s="1">
        <v>-277.3229</v>
      </c>
      <c r="G84" s="1">
        <f t="shared" si="23"/>
        <v>-1.4867424917493262</v>
      </c>
      <c r="H84" s="1">
        <f t="shared" si="24"/>
        <v>-0.37120762088844156</v>
      </c>
      <c r="I84" s="1">
        <f t="shared" si="25"/>
        <v>-4.8401976961789819</v>
      </c>
      <c r="J84" s="1">
        <f t="shared" si="26"/>
        <v>-0.15033908645981883</v>
      </c>
      <c r="K84" s="1">
        <f t="shared" si="27"/>
        <v>-1.9602800669524878</v>
      </c>
      <c r="L84" s="1">
        <f t="shared" si="28"/>
        <v>5.5807014611291075E-2</v>
      </c>
      <c r="O84"/>
      <c r="P84" s="1">
        <v>2.7329439999999998</v>
      </c>
      <c r="R84" s="1">
        <v>-78.944410000000005</v>
      </c>
      <c r="S84" s="1"/>
      <c r="U84"/>
      <c r="V84" s="1">
        <f t="shared" si="29"/>
        <v>-1.3778398805443368</v>
      </c>
      <c r="W84" s="1">
        <f t="shared" si="30"/>
        <v>0</v>
      </c>
      <c r="X84" s="1">
        <f t="shared" si="31"/>
        <v>0</v>
      </c>
      <c r="Y84" s="1">
        <f t="shared" si="32"/>
        <v>0</v>
      </c>
      <c r="Z84" s="1">
        <f t="shared" si="33"/>
        <v>0</v>
      </c>
      <c r="AA84" s="1">
        <f>(0.405*(H84^2))</f>
        <v>5.5807014611291075E-2</v>
      </c>
      <c r="AE84" s="1">
        <v>2.6996220000000002</v>
      </c>
      <c r="AF84" s="1">
        <v>5.542412E-2</v>
      </c>
      <c r="AG84" s="1">
        <v>-73.420630000000003</v>
      </c>
      <c r="AH84" s="1">
        <v>4.8074170000000001</v>
      </c>
      <c r="AI84" s="1">
        <v>-594.59289999999999</v>
      </c>
      <c r="AK84" s="1">
        <f t="shared" si="34"/>
        <v>-1.2814317323885243</v>
      </c>
      <c r="AL84" s="1">
        <f t="shared" si="35"/>
        <v>8.3905255166348239E-2</v>
      </c>
      <c r="AM84" s="1">
        <f t="shared" si="36"/>
        <v>-10.377603813981391</v>
      </c>
      <c r="AN84" s="1">
        <f t="shared" si="37"/>
        <v>1.9470038850000002</v>
      </c>
      <c r="AO84" s="1">
        <f t="shared" si="38"/>
        <v>-240.8101245</v>
      </c>
      <c r="AP84" s="1">
        <f t="shared" si="39"/>
        <v>2.8512371970346533E-3</v>
      </c>
      <c r="AT84" s="1">
        <v>2.8329330000000001</v>
      </c>
      <c r="AU84" s="1">
        <v>1.128905</v>
      </c>
      <c r="AV84" s="1">
        <v>-69.710269999999994</v>
      </c>
      <c r="AW84" s="1">
        <v>-94.644270000000006</v>
      </c>
      <c r="AX84" s="1">
        <v>-1048.5830000000001</v>
      </c>
      <c r="AZ84" s="1">
        <f t="shared" si="40"/>
        <v>-1.2166737339542273</v>
      </c>
      <c r="BA84" s="1">
        <f t="shared" si="41"/>
        <v>-1.6518541296464937</v>
      </c>
      <c r="BB84" s="1">
        <f t="shared" si="42"/>
        <v>-18.301225830439702</v>
      </c>
      <c r="BC84" s="1">
        <f t="shared" si="43"/>
        <v>-38.330929350000005</v>
      </c>
      <c r="BD84" s="1">
        <f t="shared" si="44"/>
        <v>-424.67611500000004</v>
      </c>
      <c r="BE84" s="1">
        <f t="shared" si="45"/>
        <v>1.105091936580221</v>
      </c>
    </row>
    <row r="85" spans="1:57" x14ac:dyDescent="0.3">
      <c r="A85" s="1">
        <v>2.7329560000000002</v>
      </c>
      <c r="B85" s="1">
        <v>0.29120360000000001</v>
      </c>
      <c r="C85" s="1">
        <v>-85.945160000000001</v>
      </c>
      <c r="D85" s="1">
        <v>-24.778770000000002</v>
      </c>
      <c r="E85" s="1">
        <v>-110.9866</v>
      </c>
      <c r="G85" s="1">
        <f t="shared" si="23"/>
        <v>-1.5000260181533298</v>
      </c>
      <c r="H85" s="1">
        <f t="shared" si="24"/>
        <v>-0.43247112109439534</v>
      </c>
      <c r="I85" s="1">
        <f t="shared" si="25"/>
        <v>-1.9370815955939384</v>
      </c>
      <c r="J85" s="1">
        <f t="shared" si="26"/>
        <v>-0.17515080404323013</v>
      </c>
      <c r="K85" s="1">
        <f t="shared" si="27"/>
        <v>-0.78451804621554511</v>
      </c>
      <c r="L85" s="1">
        <f t="shared" si="28"/>
        <v>7.5747664585160482E-2</v>
      </c>
      <c r="O85"/>
      <c r="S85" s="1"/>
      <c r="U85"/>
      <c r="Z85" s="1"/>
      <c r="AA85" s="1"/>
      <c r="AE85" s="1">
        <v>2.7329560000000002</v>
      </c>
      <c r="AF85" s="1">
        <v>0.3418795</v>
      </c>
      <c r="AG85" s="1">
        <v>-73.260360000000006</v>
      </c>
      <c r="AH85" s="1">
        <v>-29.862220000000001</v>
      </c>
      <c r="AI85" s="1">
        <v>-1091.367</v>
      </c>
      <c r="AK85" s="1">
        <f t="shared" si="34"/>
        <v>-1.2786344931963531</v>
      </c>
      <c r="AL85" s="1">
        <f t="shared" si="35"/>
        <v>-0.52119406095490106</v>
      </c>
      <c r="AM85" s="1">
        <f t="shared" si="36"/>
        <v>-19.047947497612956</v>
      </c>
      <c r="AN85" s="1">
        <f t="shared" si="37"/>
        <v>-12.094199100000001</v>
      </c>
      <c r="AO85" s="1">
        <f t="shared" si="38"/>
        <v>-442.00363500000003</v>
      </c>
      <c r="AP85" s="1">
        <f t="shared" si="39"/>
        <v>0.11001551591573777</v>
      </c>
      <c r="AT85" s="1">
        <v>2.8662559999999999</v>
      </c>
      <c r="AU85" s="1">
        <v>1.2691479999999999</v>
      </c>
      <c r="AV85" s="1">
        <v>-72.876840000000001</v>
      </c>
      <c r="AW85" s="1">
        <v>-106.4789</v>
      </c>
      <c r="AX85" s="1">
        <v>-463.32029999999997</v>
      </c>
      <c r="AZ85" s="1">
        <f t="shared" si="40"/>
        <v>-1.2719408064491045</v>
      </c>
      <c r="BA85" s="1">
        <f t="shared" si="41"/>
        <v>-1.85840738890179</v>
      </c>
      <c r="BB85" s="1">
        <f t="shared" si="42"/>
        <v>-8.0864647263278826</v>
      </c>
      <c r="BC85" s="1">
        <f t="shared" si="43"/>
        <v>-43.123954500000004</v>
      </c>
      <c r="BD85" s="1">
        <f t="shared" si="44"/>
        <v>-187.6447215</v>
      </c>
      <c r="BE85" s="1">
        <f t="shared" si="45"/>
        <v>1.3987395993655316</v>
      </c>
    </row>
    <row r="86" spans="1:57" x14ac:dyDescent="0.3">
      <c r="A86" s="1">
        <v>2.7662779999999998</v>
      </c>
      <c r="B86" s="1">
        <v>0.33737729999999999</v>
      </c>
      <c r="C86" s="1">
        <v>-86.835719999999995</v>
      </c>
      <c r="D86" s="1">
        <v>-28.717580000000002</v>
      </c>
      <c r="E86" s="1">
        <v>-105.1733</v>
      </c>
      <c r="G86" s="1">
        <f t="shared" si="23"/>
        <v>-1.5155692223398902</v>
      </c>
      <c r="H86" s="1">
        <f t="shared" si="24"/>
        <v>-0.50121632420487316</v>
      </c>
      <c r="I86" s="1">
        <f t="shared" si="25"/>
        <v>-1.8356203701877523</v>
      </c>
      <c r="J86" s="1">
        <f t="shared" si="26"/>
        <v>-0.20299261130297364</v>
      </c>
      <c r="K86" s="1">
        <f t="shared" si="27"/>
        <v>-0.74342624992603967</v>
      </c>
      <c r="L86" s="1">
        <f t="shared" si="28"/>
        <v>0.10174321047802504</v>
      </c>
      <c r="AE86" s="1">
        <v>2.7662779999999998</v>
      </c>
      <c r="AF86" s="1">
        <v>0.87118390000000001</v>
      </c>
      <c r="AG86" s="1">
        <v>-75.411119999999997</v>
      </c>
      <c r="AH86" s="1">
        <v>-76.180639999999997</v>
      </c>
      <c r="AI86" s="1">
        <v>-753.40440000000001</v>
      </c>
      <c r="AK86" s="1">
        <f t="shared" si="34"/>
        <v>-1.3161723366165461</v>
      </c>
      <c r="AL86" s="1">
        <f t="shared" si="35"/>
        <v>-1.3296029942764929</v>
      </c>
      <c r="AM86" s="1">
        <f t="shared" si="36"/>
        <v>-13.149387379012367</v>
      </c>
      <c r="AN86" s="1">
        <f t="shared" si="37"/>
        <v>-30.8531592</v>
      </c>
      <c r="AO86" s="1">
        <f t="shared" si="38"/>
        <v>-305.128782</v>
      </c>
      <c r="AP86" s="1">
        <f t="shared" si="39"/>
        <v>0.71597686956755136</v>
      </c>
      <c r="AT86" s="1">
        <v>2.8995890000000002</v>
      </c>
      <c r="AU86" s="1">
        <v>1.517099</v>
      </c>
      <c r="AV86" s="1">
        <v>-76.807680000000005</v>
      </c>
      <c r="AW86" s="1">
        <v>-127.36279999999999</v>
      </c>
      <c r="AX86" s="1">
        <v>-182.3151</v>
      </c>
      <c r="AZ86" s="1">
        <f t="shared" si="40"/>
        <v>-1.3405469068181983</v>
      </c>
      <c r="BA86" s="1">
        <f t="shared" si="41"/>
        <v>-2.2229002045590338</v>
      </c>
      <c r="BB86" s="1">
        <f t="shared" si="42"/>
        <v>-3.1819987711027138</v>
      </c>
      <c r="BC86" s="1">
        <f t="shared" si="43"/>
        <v>-51.581934000000004</v>
      </c>
      <c r="BD86" s="1">
        <f t="shared" si="44"/>
        <v>-73.837615499999998</v>
      </c>
      <c r="BE86" s="1">
        <f t="shared" si="45"/>
        <v>2.0012205543685808</v>
      </c>
    </row>
    <row r="87" spans="1:57" x14ac:dyDescent="0.3">
      <c r="A87" s="1">
        <v>2.7996110000000001</v>
      </c>
      <c r="B87" s="1">
        <v>0.37483460000000002</v>
      </c>
      <c r="C87" s="1">
        <v>-87.859350000000006</v>
      </c>
      <c r="D87" s="1">
        <v>-31.906780000000001</v>
      </c>
      <c r="E87" s="1">
        <v>-92.803420000000003</v>
      </c>
      <c r="G87" s="1">
        <f t="shared" si="23"/>
        <v>-1.53343493616208</v>
      </c>
      <c r="H87" s="1">
        <f t="shared" si="24"/>
        <v>-0.55687836470947627</v>
      </c>
      <c r="I87" s="1">
        <f t="shared" si="25"/>
        <v>-1.619725236111156</v>
      </c>
      <c r="J87" s="1">
        <f t="shared" si="26"/>
        <v>-0.2255357377073379</v>
      </c>
      <c r="K87" s="1">
        <f t="shared" si="27"/>
        <v>-0.65598872062501823</v>
      </c>
      <c r="L87" s="1">
        <f t="shared" si="28"/>
        <v>0.12559597279800772</v>
      </c>
      <c r="AE87" s="1">
        <v>2.7996110000000001</v>
      </c>
      <c r="AF87" s="1">
        <v>0.91016059999999999</v>
      </c>
      <c r="AG87" s="1">
        <v>-78.338220000000007</v>
      </c>
      <c r="AH87" s="1">
        <v>-79.615200000000002</v>
      </c>
      <c r="AI87" s="1">
        <v>-216.28569999999999</v>
      </c>
      <c r="AK87" s="1">
        <f t="shared" si="34"/>
        <v>-1.3672598691516724</v>
      </c>
      <c r="AL87" s="1">
        <f t="shared" si="35"/>
        <v>-1.3895473746337894</v>
      </c>
      <c r="AM87" s="1">
        <f t="shared" si="36"/>
        <v>-3.7748975899806996</v>
      </c>
      <c r="AN87" s="1">
        <f t="shared" si="37"/>
        <v>-32.244156000000004</v>
      </c>
      <c r="AO87" s="1">
        <f t="shared" si="38"/>
        <v>-87.595708500000001</v>
      </c>
      <c r="AP87" s="1">
        <f t="shared" si="39"/>
        <v>0.78199097207242096</v>
      </c>
      <c r="AT87" s="1">
        <v>2.932922</v>
      </c>
      <c r="AU87" s="1">
        <v>1.451273</v>
      </c>
      <c r="AV87" s="1">
        <v>-81.367689999999996</v>
      </c>
      <c r="AW87" s="1">
        <v>-121.8317</v>
      </c>
      <c r="AX87" s="1">
        <v>-122.8241</v>
      </c>
      <c r="AZ87" s="1">
        <f t="shared" si="40"/>
        <v>-1.4201340952420647</v>
      </c>
      <c r="BA87" s="1">
        <f t="shared" si="41"/>
        <v>-2.1263642983019753</v>
      </c>
      <c r="BB87" s="1">
        <f t="shared" si="42"/>
        <v>-2.1436849457987672</v>
      </c>
      <c r="BC87" s="1">
        <f t="shared" si="43"/>
        <v>-49.341838500000001</v>
      </c>
      <c r="BD87" s="1">
        <f t="shared" si="44"/>
        <v>-49.7437605</v>
      </c>
      <c r="BE87" s="1">
        <f t="shared" si="45"/>
        <v>1.831177177282767</v>
      </c>
    </row>
    <row r="88" spans="1:57" x14ac:dyDescent="0.3">
      <c r="A88" s="1">
        <v>2.8329439999999999</v>
      </c>
      <c r="B88" s="1">
        <v>0.40791240000000001</v>
      </c>
      <c r="C88" s="1">
        <v>-88.96284</v>
      </c>
      <c r="D88" s="1">
        <v>-34.729259999999996</v>
      </c>
      <c r="E88" s="1">
        <v>-55.076549999999997</v>
      </c>
      <c r="G88" s="1">
        <f t="shared" si="23"/>
        <v>-1.5526944699249121</v>
      </c>
      <c r="H88" s="1">
        <f t="shared" si="24"/>
        <v>-0.60613993378116582</v>
      </c>
      <c r="I88" s="1">
        <f t="shared" si="25"/>
        <v>-0.96126713813928288</v>
      </c>
      <c r="J88" s="1">
        <f t="shared" si="26"/>
        <v>-0.24548667318137218</v>
      </c>
      <c r="K88" s="1">
        <f t="shared" si="27"/>
        <v>-0.38931319094640959</v>
      </c>
      <c r="L88" s="1">
        <f t="shared" si="28"/>
        <v>0.14879927582631564</v>
      </c>
      <c r="AE88" s="1">
        <v>2.8329559999999998</v>
      </c>
      <c r="AF88" s="1">
        <v>0.96759189999999995</v>
      </c>
      <c r="AG88" s="1">
        <v>-80.719679999999997</v>
      </c>
      <c r="AH88" s="1">
        <v>-84.702150000000003</v>
      </c>
      <c r="AI88" s="1">
        <v>-322.33420000000001</v>
      </c>
      <c r="AK88" s="1">
        <f t="shared" si="34"/>
        <v>-1.4088241871562164</v>
      </c>
      <c r="AL88" s="1">
        <f t="shared" si="35"/>
        <v>-1.4783314010181152</v>
      </c>
      <c r="AM88" s="1">
        <f t="shared" si="36"/>
        <v>-5.6257930817819064</v>
      </c>
      <c r="AN88" s="1">
        <f t="shared" si="37"/>
        <v>-34.304370750000004</v>
      </c>
      <c r="AO88" s="1">
        <f t="shared" si="38"/>
        <v>-130.54535100000001</v>
      </c>
      <c r="AP88" s="1">
        <f t="shared" si="39"/>
        <v>0.88511281115065443</v>
      </c>
      <c r="AT88" s="1">
        <v>2.9662440000000001</v>
      </c>
      <c r="AU88" s="1">
        <v>1.5133209999999999</v>
      </c>
      <c r="AV88" s="1">
        <v>-84.928439999999995</v>
      </c>
      <c r="AW88" s="1">
        <v>-127.0331</v>
      </c>
      <c r="AX88" s="1">
        <v>-181.3527</v>
      </c>
      <c r="AZ88" s="1">
        <f t="shared" si="40"/>
        <v>-1.4822809065824527</v>
      </c>
      <c r="BA88" s="1">
        <f t="shared" si="41"/>
        <v>-2.2171458540152087</v>
      </c>
      <c r="BB88" s="1">
        <f t="shared" si="42"/>
        <v>-3.1652017223815201</v>
      </c>
      <c r="BC88" s="1">
        <f t="shared" si="43"/>
        <v>-51.448405500000007</v>
      </c>
      <c r="BD88" s="1">
        <f t="shared" si="44"/>
        <v>-73.447843500000005</v>
      </c>
      <c r="BE88" s="1">
        <f t="shared" si="45"/>
        <v>1.9908729738806157</v>
      </c>
    </row>
    <row r="89" spans="1:57" x14ac:dyDescent="0.3">
      <c r="A89" s="1">
        <v>2.8662670000000001</v>
      </c>
      <c r="B89" s="1">
        <v>0.4221221</v>
      </c>
      <c r="C89" s="1">
        <v>-90.174250000000001</v>
      </c>
      <c r="D89" s="1">
        <v>-35.939889999999998</v>
      </c>
      <c r="E89" s="1">
        <v>-27.968730000000001</v>
      </c>
      <c r="G89" s="1">
        <f t="shared" si="23"/>
        <v>-1.5738375630164967</v>
      </c>
      <c r="H89" s="1">
        <f t="shared" si="24"/>
        <v>-0.62726941330458486</v>
      </c>
      <c r="I89" s="1">
        <f t="shared" si="25"/>
        <v>-0.48814642610131365</v>
      </c>
      <c r="J89" s="1">
        <f t="shared" si="26"/>
        <v>-0.25404411238835689</v>
      </c>
      <c r="K89" s="1">
        <f t="shared" si="27"/>
        <v>-0.19769930257103205</v>
      </c>
      <c r="L89" s="1">
        <f t="shared" si="28"/>
        <v>0.15935410133132863</v>
      </c>
      <c r="AE89" s="1">
        <v>2.8662670000000001</v>
      </c>
      <c r="AF89" s="1">
        <v>1.199972</v>
      </c>
      <c r="AG89" s="1">
        <v>-83.984089999999995</v>
      </c>
      <c r="AH89" s="1">
        <v>-105.0997</v>
      </c>
      <c r="AI89" s="1">
        <v>-425.40800000000002</v>
      </c>
      <c r="AK89" s="1">
        <f t="shared" si="34"/>
        <v>-1.4657988897912444</v>
      </c>
      <c r="AL89" s="1">
        <f t="shared" si="35"/>
        <v>-1.8343358078582845</v>
      </c>
      <c r="AM89" s="1">
        <f t="shared" si="36"/>
        <v>-7.424770264324037</v>
      </c>
      <c r="AN89" s="1">
        <f t="shared" si="37"/>
        <v>-42.565378500000001</v>
      </c>
      <c r="AO89" s="1">
        <f t="shared" si="38"/>
        <v>-172.29024000000001</v>
      </c>
      <c r="AP89" s="1">
        <f t="shared" si="39"/>
        <v>1.3627390816763978</v>
      </c>
      <c r="AT89" s="1">
        <v>2.9995889999999998</v>
      </c>
      <c r="AU89" s="1">
        <v>1.6980120000000001</v>
      </c>
      <c r="AV89" s="1">
        <v>-89.836560000000006</v>
      </c>
      <c r="AW89" s="1">
        <v>-142.47190000000001</v>
      </c>
      <c r="AX89" s="1">
        <v>-148.6309</v>
      </c>
      <c r="AZ89" s="1">
        <f t="shared" si="40"/>
        <v>-1.5679437606654372</v>
      </c>
      <c r="BA89" s="1">
        <f t="shared" si="41"/>
        <v>-2.4866037465721091</v>
      </c>
      <c r="BB89" s="1">
        <f t="shared" si="42"/>
        <v>-2.5940985752024401</v>
      </c>
      <c r="BC89" s="1">
        <f t="shared" si="43"/>
        <v>-57.701119500000004</v>
      </c>
      <c r="BD89" s="1">
        <f t="shared" si="44"/>
        <v>-60.195514500000002</v>
      </c>
      <c r="BE89" s="1">
        <f t="shared" si="45"/>
        <v>2.5041952679489126</v>
      </c>
    </row>
    <row r="90" spans="1:57" x14ac:dyDescent="0.3">
      <c r="A90" s="1">
        <v>2.8995890000000002</v>
      </c>
      <c r="B90" s="1">
        <v>0.4244907</v>
      </c>
      <c r="C90" s="1">
        <v>-91.358029999999999</v>
      </c>
      <c r="D90" s="1">
        <v>-36.14752</v>
      </c>
      <c r="E90" s="1">
        <v>7.8693809999999997</v>
      </c>
      <c r="G90" s="1">
        <f t="shared" si="23"/>
        <v>-1.5944984216357552</v>
      </c>
      <c r="H90" s="1">
        <f t="shared" si="24"/>
        <v>-0.63089324043050066</v>
      </c>
      <c r="I90" s="1">
        <f t="shared" si="25"/>
        <v>0.13734660854388386</v>
      </c>
      <c r="J90" s="1">
        <f t="shared" si="26"/>
        <v>-0.2555117623743528</v>
      </c>
      <c r="K90" s="1">
        <f t="shared" si="27"/>
        <v>5.562537646027297E-2</v>
      </c>
      <c r="L90" s="1">
        <f t="shared" si="28"/>
        <v>0.16120064373246351</v>
      </c>
      <c r="AE90" s="1">
        <v>2.8995890000000002</v>
      </c>
      <c r="AF90" s="1">
        <v>1.29037</v>
      </c>
      <c r="AG90" s="1">
        <v>-87.722830000000002</v>
      </c>
      <c r="AH90" s="1">
        <v>-113.0715</v>
      </c>
      <c r="AI90" s="1">
        <v>62.245930000000001</v>
      </c>
      <c r="AK90" s="1">
        <f t="shared" si="34"/>
        <v>-1.5310522126672572</v>
      </c>
      <c r="AL90" s="1">
        <f t="shared" si="35"/>
        <v>-1.9734699651687682</v>
      </c>
      <c r="AM90" s="1">
        <f t="shared" si="36"/>
        <v>1.0863964244659139</v>
      </c>
      <c r="AN90" s="1">
        <f t="shared" si="37"/>
        <v>-45.793957500000005</v>
      </c>
      <c r="AO90" s="1">
        <f t="shared" si="38"/>
        <v>25.209601650000003</v>
      </c>
      <c r="AP90" s="1">
        <f t="shared" si="39"/>
        <v>1.5773063998864039</v>
      </c>
      <c r="AT90" s="1">
        <v>3.0329220000000001</v>
      </c>
      <c r="AU90" s="1">
        <v>1.591334</v>
      </c>
      <c r="AV90" s="1">
        <v>-94.428150000000002</v>
      </c>
      <c r="AW90" s="1">
        <v>-133.3707</v>
      </c>
      <c r="AX90" s="1">
        <v>283.18360000000001</v>
      </c>
      <c r="AZ90" s="1">
        <f t="shared" si="40"/>
        <v>-1.6480821240670838</v>
      </c>
      <c r="BA90" s="1">
        <f t="shared" si="41"/>
        <v>-2.3277578406896016</v>
      </c>
      <c r="BB90" s="1">
        <f t="shared" si="42"/>
        <v>4.9424862076506146</v>
      </c>
      <c r="BC90" s="1">
        <f t="shared" si="43"/>
        <v>-54.015133500000005</v>
      </c>
      <c r="BD90" s="1">
        <f t="shared" si="44"/>
        <v>114.68935800000001</v>
      </c>
      <c r="BE90" s="1">
        <f t="shared" si="45"/>
        <v>2.1944749087812263</v>
      </c>
    </row>
    <row r="91" spans="1:57" x14ac:dyDescent="0.3">
      <c r="A91" s="1">
        <v>2.9329329999999998</v>
      </c>
      <c r="B91" s="1">
        <v>0.42010029999999998</v>
      </c>
      <c r="C91" s="1">
        <v>-92.58408</v>
      </c>
      <c r="D91" s="1">
        <v>-35.779960000000003</v>
      </c>
      <c r="E91" s="1">
        <v>28.55593</v>
      </c>
      <c r="G91" s="1">
        <f t="shared" si="23"/>
        <v>-1.6158970309298317</v>
      </c>
      <c r="H91" s="1">
        <f t="shared" si="24"/>
        <v>-0.62447810823187033</v>
      </c>
      <c r="I91" s="1">
        <f t="shared" si="25"/>
        <v>0.49839499946902438</v>
      </c>
      <c r="J91" s="1">
        <f t="shared" si="26"/>
        <v>-0.25291363383390753</v>
      </c>
      <c r="K91" s="1">
        <f t="shared" si="27"/>
        <v>0.20184997478495489</v>
      </c>
      <c r="L91" s="1">
        <f t="shared" si="28"/>
        <v>0.15793902760264653</v>
      </c>
      <c r="AE91" s="1">
        <v>2.932922</v>
      </c>
      <c r="AF91" s="1">
        <v>1.1626080000000001</v>
      </c>
      <c r="AG91" s="1">
        <v>-91.520939999999996</v>
      </c>
      <c r="AH91" s="1">
        <v>-101.8633</v>
      </c>
      <c r="AI91" s="1">
        <v>90.369339999999994</v>
      </c>
      <c r="AK91" s="1">
        <f t="shared" si="34"/>
        <v>-1.5973417375201791</v>
      </c>
      <c r="AL91" s="1">
        <f t="shared" si="35"/>
        <v>-1.7778499719467398</v>
      </c>
      <c r="AM91" s="1">
        <f t="shared" si="36"/>
        <v>1.5772425258542124</v>
      </c>
      <c r="AN91" s="1">
        <f t="shared" si="37"/>
        <v>-41.254636500000004</v>
      </c>
      <c r="AO91" s="1">
        <f t="shared" si="38"/>
        <v>36.599582699999999</v>
      </c>
      <c r="AP91" s="1">
        <f t="shared" si="39"/>
        <v>1.2801039617141645</v>
      </c>
      <c r="AT91" s="1">
        <v>3.066233</v>
      </c>
      <c r="AU91" s="1">
        <v>1.478405</v>
      </c>
      <c r="AV91" s="1">
        <v>-98.724980000000002</v>
      </c>
      <c r="AW91" s="1">
        <v>-123.81</v>
      </c>
      <c r="AX91" s="1">
        <v>279.47789999999998</v>
      </c>
      <c r="AZ91" s="1">
        <f t="shared" si="40"/>
        <v>-1.7230759549655514</v>
      </c>
      <c r="BA91" s="1">
        <f t="shared" si="41"/>
        <v>-2.1608921468941795</v>
      </c>
      <c r="BB91" s="1">
        <f t="shared" si="42"/>
        <v>4.8778095415594596</v>
      </c>
      <c r="BC91" s="1">
        <f t="shared" si="43"/>
        <v>-50.143050000000002</v>
      </c>
      <c r="BD91" s="1">
        <f t="shared" si="44"/>
        <v>113.18854949999999</v>
      </c>
      <c r="BE91" s="1">
        <f t="shared" si="45"/>
        <v>1.8911292225561191</v>
      </c>
    </row>
    <row r="92" spans="1:57" x14ac:dyDescent="0.3">
      <c r="A92" s="1">
        <v>2.9662670000000002</v>
      </c>
      <c r="B92" s="1">
        <v>0.39909739999999999</v>
      </c>
      <c r="C92" s="1">
        <v>-93.743759999999995</v>
      </c>
      <c r="D92" s="1">
        <v>-33.989919999999998</v>
      </c>
      <c r="E92" s="1">
        <v>49.817079999999997</v>
      </c>
      <c r="G92" s="1">
        <f t="shared" si="23"/>
        <v>-1.6361372651993593</v>
      </c>
      <c r="H92" s="1">
        <f t="shared" si="24"/>
        <v>-0.593236016489471</v>
      </c>
      <c r="I92" s="1">
        <f t="shared" si="25"/>
        <v>0.86947206972941671</v>
      </c>
      <c r="J92" s="1">
        <f t="shared" si="26"/>
        <v>-0.24026058667823577</v>
      </c>
      <c r="K92" s="1">
        <f t="shared" si="27"/>
        <v>0.35213618824041382</v>
      </c>
      <c r="L92" s="1">
        <f t="shared" si="28"/>
        <v>0.14253123336041987</v>
      </c>
      <c r="AE92" s="1">
        <v>2.966256</v>
      </c>
      <c r="AF92" s="1">
        <v>1.16092</v>
      </c>
      <c r="AG92" s="1">
        <v>-94.513710000000003</v>
      </c>
      <c r="AH92" s="1">
        <v>-101.742</v>
      </c>
      <c r="AI92" s="1">
        <v>74.808149999999998</v>
      </c>
      <c r="AK92" s="1">
        <f t="shared" si="34"/>
        <v>-1.6495754277750898</v>
      </c>
      <c r="AL92" s="1">
        <f t="shared" si="35"/>
        <v>-1.7757328875640708</v>
      </c>
      <c r="AM92" s="1">
        <f t="shared" si="36"/>
        <v>1.3056485248257961</v>
      </c>
      <c r="AN92" s="1">
        <f t="shared" si="37"/>
        <v>-41.205510000000004</v>
      </c>
      <c r="AO92" s="1">
        <f t="shared" si="38"/>
        <v>30.297300750000002</v>
      </c>
      <c r="AP92" s="1">
        <f t="shared" si="39"/>
        <v>1.2770570516305364</v>
      </c>
      <c r="AT92" s="1">
        <v>3.099567</v>
      </c>
      <c r="AU92" s="1">
        <v>1.3680380000000001</v>
      </c>
      <c r="AV92" s="1">
        <v>-102.6794</v>
      </c>
      <c r="AW92" s="1">
        <v>-114.4389</v>
      </c>
      <c r="AX92" s="1">
        <v>1167.0440000000001</v>
      </c>
      <c r="AZ92" s="1">
        <f t="shared" si="40"/>
        <v>-1.7920936039722657</v>
      </c>
      <c r="BA92" s="1">
        <f t="shared" si="41"/>
        <v>-1.9973355973605389</v>
      </c>
      <c r="BB92" s="1">
        <f t="shared" si="42"/>
        <v>20.368760315644703</v>
      </c>
      <c r="BC92" s="1">
        <f t="shared" si="43"/>
        <v>-46.347754500000008</v>
      </c>
      <c r="BD92" s="1">
        <f t="shared" si="44"/>
        <v>472.65282000000008</v>
      </c>
      <c r="BE92" s="1">
        <f t="shared" si="45"/>
        <v>1.6156865428358504</v>
      </c>
    </row>
    <row r="93" spans="1:57" x14ac:dyDescent="0.3">
      <c r="A93" s="1">
        <v>2.9995889999999998</v>
      </c>
      <c r="B93" s="1">
        <v>0.38145970000000001</v>
      </c>
      <c r="C93" s="1">
        <v>-94.849699999999999</v>
      </c>
      <c r="D93" s="1">
        <v>-32.488190000000003</v>
      </c>
      <c r="E93" s="1">
        <v>75.424729999999997</v>
      </c>
      <c r="G93" s="1">
        <f t="shared" si="23"/>
        <v>-1.6554395595288656</v>
      </c>
      <c r="H93" s="1">
        <f t="shared" si="24"/>
        <v>-0.56702588351349659</v>
      </c>
      <c r="I93" s="1">
        <f t="shared" si="25"/>
        <v>1.3164098759277425</v>
      </c>
      <c r="J93" s="1">
        <f t="shared" si="26"/>
        <v>-0.22964548282296612</v>
      </c>
      <c r="K93" s="1">
        <f t="shared" si="27"/>
        <v>0.53314599975073573</v>
      </c>
      <c r="L93" s="1">
        <f t="shared" si="28"/>
        <v>0.13021493279257587</v>
      </c>
      <c r="AE93" s="1">
        <v>2.9995889999999998</v>
      </c>
      <c r="AF93" s="1">
        <v>1.1810430000000001</v>
      </c>
      <c r="AG93" s="1">
        <v>-98.303730000000002</v>
      </c>
      <c r="AH93" s="1">
        <v>-103.4609</v>
      </c>
      <c r="AI93" s="1">
        <v>136.1893</v>
      </c>
      <c r="AK93" s="1">
        <f t="shared" si="34"/>
        <v>-1.7157237554915254</v>
      </c>
      <c r="AL93" s="1">
        <f t="shared" si="35"/>
        <v>-1.805733352076601</v>
      </c>
      <c r="AM93" s="1">
        <f t="shared" si="36"/>
        <v>2.3769516909863131</v>
      </c>
      <c r="AN93" s="1">
        <f t="shared" si="37"/>
        <v>-41.901664500000003</v>
      </c>
      <c r="AO93" s="1">
        <f t="shared" si="38"/>
        <v>55.156666500000007</v>
      </c>
      <c r="AP93" s="1">
        <f t="shared" si="39"/>
        <v>1.3205725402147284</v>
      </c>
      <c r="AT93" s="1">
        <v>3.132911</v>
      </c>
      <c r="AU93" s="1">
        <v>0.64181889999999997</v>
      </c>
      <c r="AV93" s="1">
        <v>-106.35550000000001</v>
      </c>
      <c r="AW93" s="1">
        <v>-53.646909999999998</v>
      </c>
      <c r="AX93" s="1">
        <v>1528.421</v>
      </c>
      <c r="AZ93" s="1">
        <f t="shared" si="40"/>
        <v>-1.856253652604829</v>
      </c>
      <c r="BA93" s="1">
        <f t="shared" si="41"/>
        <v>-0.93631521302107101</v>
      </c>
      <c r="BB93" s="1">
        <f t="shared" si="42"/>
        <v>26.675978806624254</v>
      </c>
      <c r="BC93" s="1">
        <f t="shared" si="43"/>
        <v>-21.726998550000001</v>
      </c>
      <c r="BD93" s="1">
        <f t="shared" si="44"/>
        <v>619.01050500000008</v>
      </c>
      <c r="BE93" s="1">
        <f t="shared" si="45"/>
        <v>0.35505790214455096</v>
      </c>
    </row>
    <row r="94" spans="1:57" x14ac:dyDescent="0.3">
      <c r="A94" s="1">
        <v>3.0329109999999999</v>
      </c>
      <c r="B94" s="1">
        <v>0.34334559999999997</v>
      </c>
      <c r="C94" s="1">
        <v>-95.908919999999995</v>
      </c>
      <c r="D94" s="1">
        <v>-29.246030000000001</v>
      </c>
      <c r="E94" s="1">
        <v>117.7624</v>
      </c>
      <c r="G94" s="1">
        <f t="shared" si="23"/>
        <v>-1.6739264360318398</v>
      </c>
      <c r="H94" s="1">
        <f t="shared" si="24"/>
        <v>-0.51043951663703724</v>
      </c>
      <c r="I94" s="1">
        <f t="shared" si="25"/>
        <v>2.0553416150505703</v>
      </c>
      <c r="J94" s="1">
        <f t="shared" si="26"/>
        <v>-0.20672800423800008</v>
      </c>
      <c r="K94" s="1">
        <f t="shared" si="27"/>
        <v>0.83241335409548101</v>
      </c>
      <c r="L94" s="1">
        <f t="shared" si="28"/>
        <v>0.10552214255858415</v>
      </c>
      <c r="AE94" s="1">
        <v>3.0329329999999999</v>
      </c>
      <c r="AF94" s="1">
        <v>1.013131</v>
      </c>
      <c r="AG94" s="1">
        <v>-101.4123</v>
      </c>
      <c r="AH94" s="1">
        <v>-88.718559999999997</v>
      </c>
      <c r="AI94" s="1">
        <v>404.79599999999999</v>
      </c>
      <c r="AK94" s="1">
        <f t="shared" si="34"/>
        <v>-1.7699785370202454</v>
      </c>
      <c r="AL94" s="1">
        <f t="shared" si="35"/>
        <v>-1.5484309796281404</v>
      </c>
      <c r="AM94" s="1">
        <f t="shared" si="36"/>
        <v>7.0650229989029665</v>
      </c>
      <c r="AN94" s="1">
        <f t="shared" si="37"/>
        <v>-35.931016800000002</v>
      </c>
      <c r="AO94" s="1">
        <f t="shared" si="38"/>
        <v>163.94238000000001</v>
      </c>
      <c r="AP94" s="1">
        <f t="shared" si="39"/>
        <v>0.97104359196222578</v>
      </c>
      <c r="AT94" s="1">
        <v>3.1662219999999999</v>
      </c>
      <c r="AU94" s="1">
        <v>3.6067580000000002E-2</v>
      </c>
      <c r="AV94" s="1">
        <v>-106.25530000000001</v>
      </c>
      <c r="AW94" s="1">
        <v>3.0088499999999998</v>
      </c>
      <c r="AX94" s="1">
        <v>971.40219999999999</v>
      </c>
      <c r="AZ94" s="1">
        <f t="shared" si="40"/>
        <v>-1.854504832694331</v>
      </c>
      <c r="BA94" s="1">
        <f t="shared" si="41"/>
        <v>5.2514339198631382E-2</v>
      </c>
      <c r="BB94" s="1">
        <f t="shared" si="42"/>
        <v>16.95416675111646</v>
      </c>
      <c r="BC94" s="1">
        <f t="shared" si="43"/>
        <v>1.2185842499999999</v>
      </c>
      <c r="BD94" s="1">
        <f t="shared" si="44"/>
        <v>393.417891</v>
      </c>
      <c r="BE94" s="1">
        <f t="shared" si="45"/>
        <v>1.1168911076949097E-3</v>
      </c>
    </row>
    <row r="95" spans="1:57" x14ac:dyDescent="0.3">
      <c r="A95" s="1">
        <v>3.066233</v>
      </c>
      <c r="B95" s="1">
        <v>0.28584569999999998</v>
      </c>
      <c r="C95" s="1">
        <v>-96.798779999999994</v>
      </c>
      <c r="D95" s="1">
        <v>-24.34524</v>
      </c>
      <c r="E95" s="1">
        <v>151.39320000000001</v>
      </c>
      <c r="G95" s="1">
        <f t="shared" si="23"/>
        <v>-1.6894574229136363</v>
      </c>
      <c r="H95" s="1">
        <f t="shared" si="24"/>
        <v>-0.42490459518822432</v>
      </c>
      <c r="I95" s="1">
        <f t="shared" si="25"/>
        <v>2.6423098051302794</v>
      </c>
      <c r="J95" s="1">
        <f t="shared" si="26"/>
        <v>-0.17208636105123087</v>
      </c>
      <c r="K95" s="1">
        <f t="shared" si="27"/>
        <v>1.0701354710777633</v>
      </c>
      <c r="L95" s="1">
        <f t="shared" si="28"/>
        <v>7.3120285579887867E-2</v>
      </c>
      <c r="AE95" s="1">
        <v>3.066233</v>
      </c>
      <c r="AF95" s="1">
        <v>0.88690979999999997</v>
      </c>
      <c r="AG95" s="1">
        <v>-104.2163</v>
      </c>
      <c r="AH95" s="1">
        <v>-77.645290000000003</v>
      </c>
      <c r="AI95" s="1">
        <v>247.601</v>
      </c>
      <c r="AK95" s="1">
        <f t="shared" si="34"/>
        <v>-1.8189175692461665</v>
      </c>
      <c r="AL95" s="1">
        <f t="shared" si="35"/>
        <v>-1.355165959165828</v>
      </c>
      <c r="AM95" s="1">
        <f t="shared" si="36"/>
        <v>4.3214526812304799</v>
      </c>
      <c r="AN95" s="1">
        <f t="shared" si="37"/>
        <v>-31.446342450000003</v>
      </c>
      <c r="AO95" s="1">
        <f t="shared" si="38"/>
        <v>100.27840500000001</v>
      </c>
      <c r="AP95" s="1">
        <f t="shared" si="39"/>
        <v>0.74377228463714473</v>
      </c>
      <c r="AT95" s="1">
        <v>3.1995559999999998</v>
      </c>
      <c r="AU95" s="1">
        <v>3.6061570000000001E-2</v>
      </c>
      <c r="AV95" s="1">
        <v>-106.155</v>
      </c>
      <c r="AW95" s="1">
        <v>3.008918</v>
      </c>
      <c r="AX95" s="1">
        <v>1.680384E-2</v>
      </c>
      <c r="AZ95" s="1">
        <f t="shared" si="40"/>
        <v>-1.8527542674545805</v>
      </c>
      <c r="BA95" s="1">
        <f t="shared" si="41"/>
        <v>5.2515526022522734E-2</v>
      </c>
      <c r="BB95" s="1">
        <f t="shared" si="42"/>
        <v>2.9328233497832396E-4</v>
      </c>
      <c r="BC95" s="1">
        <f t="shared" si="43"/>
        <v>1.21861179</v>
      </c>
      <c r="BD95" s="1">
        <f t="shared" si="44"/>
        <v>6.8055552000000005E-3</v>
      </c>
      <c r="BE95" s="1">
        <f t="shared" si="45"/>
        <v>1.1169415917360163E-3</v>
      </c>
    </row>
    <row r="96" spans="1:57" x14ac:dyDescent="0.3">
      <c r="A96" s="1">
        <v>3.099567</v>
      </c>
      <c r="B96" s="1">
        <v>0.22573570000000001</v>
      </c>
      <c r="C96" s="1">
        <v>-97.531660000000002</v>
      </c>
      <c r="D96" s="1">
        <v>-19.230550000000001</v>
      </c>
      <c r="E96" s="1">
        <v>639.40689999999995</v>
      </c>
      <c r="G96" s="1">
        <f t="shared" si="23"/>
        <v>-1.7022485919356529</v>
      </c>
      <c r="H96" s="1">
        <f t="shared" si="24"/>
        <v>-0.33563641446939557</v>
      </c>
      <c r="I96" s="1">
        <f t="shared" si="25"/>
        <v>11.159755664970129</v>
      </c>
      <c r="J96" s="1">
        <f t="shared" si="26"/>
        <v>-0.1359327478601052</v>
      </c>
      <c r="K96" s="1">
        <f t="shared" si="27"/>
        <v>4.5197010443129031</v>
      </c>
      <c r="L96" s="1">
        <f t="shared" si="28"/>
        <v>4.5623980100738121E-2</v>
      </c>
      <c r="AE96" s="1">
        <v>3.0995560000000002</v>
      </c>
      <c r="AF96" s="1">
        <v>0.81221880000000002</v>
      </c>
      <c r="AG96" s="1">
        <v>-106.5852</v>
      </c>
      <c r="AH96" s="1">
        <v>-71.000190000000003</v>
      </c>
      <c r="AK96" s="1">
        <f t="shared" si="34"/>
        <v>-1.8602626738966601</v>
      </c>
      <c r="AL96" s="1">
        <f t="shared" si="35"/>
        <v>-1.2391870850415527</v>
      </c>
      <c r="AM96" s="1">
        <f t="shared" si="36"/>
        <v>0</v>
      </c>
      <c r="AN96" s="1">
        <f t="shared" si="37"/>
        <v>-28.755076950000003</v>
      </c>
      <c r="AO96" s="1">
        <f t="shared" si="38"/>
        <v>0</v>
      </c>
      <c r="AP96" s="1">
        <f t="shared" si="39"/>
        <v>0.62191177585218116</v>
      </c>
      <c r="AT96" s="1">
        <v>3.2328779999999999</v>
      </c>
      <c r="AU96" s="1">
        <v>3.605556E-2</v>
      </c>
      <c r="AV96" s="1">
        <v>-106.0547</v>
      </c>
      <c r="AW96" s="1">
        <v>3.0089670000000002</v>
      </c>
      <c r="AX96" s="1">
        <v>1.625511E-2</v>
      </c>
      <c r="AZ96" s="1">
        <f t="shared" si="40"/>
        <v>-1.85100370221483</v>
      </c>
      <c r="BA96" s="1">
        <f t="shared" si="41"/>
        <v>5.251638123385622E-2</v>
      </c>
      <c r="BB96" s="1">
        <f t="shared" si="42"/>
        <v>2.8370518977385547E-4</v>
      </c>
      <c r="BC96" s="1">
        <f t="shared" si="43"/>
        <v>1.2186316350000002</v>
      </c>
      <c r="BD96" s="1">
        <f t="shared" si="44"/>
        <v>6.5833195500000002E-3</v>
      </c>
      <c r="BE96" s="1">
        <f t="shared" si="45"/>
        <v>1.1169779706493891E-3</v>
      </c>
    </row>
    <row r="97" spans="1:57" x14ac:dyDescent="0.3">
      <c r="A97" s="1">
        <v>3.1328999999999998</v>
      </c>
      <c r="B97" s="1">
        <v>0.17152800000000001</v>
      </c>
      <c r="C97" s="1">
        <v>-98.080820000000003</v>
      </c>
      <c r="D97" s="1">
        <v>14.333080000000001</v>
      </c>
      <c r="E97" s="1">
        <v>836.91869999999994</v>
      </c>
      <c r="G97" s="1">
        <f t="shared" si="23"/>
        <v>-1.7118332420559048</v>
      </c>
      <c r="H97" s="1">
        <f t="shared" si="24"/>
        <v>0.25015943795174883</v>
      </c>
      <c r="I97" s="1">
        <f t="shared" si="25"/>
        <v>14.606986886510665</v>
      </c>
      <c r="J97" s="1">
        <f t="shared" si="26"/>
        <v>0.10131457237045828</v>
      </c>
      <c r="K97" s="1">
        <f t="shared" si="27"/>
        <v>5.91582968903682</v>
      </c>
      <c r="L97" s="1">
        <f t="shared" si="28"/>
        <v>2.5344796480515627E-2</v>
      </c>
      <c r="AE97" s="1">
        <v>3.132889</v>
      </c>
      <c r="AG97" s="1">
        <v>-108.94889999999999</v>
      </c>
      <c r="AK97" s="1">
        <f t="shared" si="34"/>
        <v>-1.9015170214260502</v>
      </c>
      <c r="AL97" s="1">
        <f t="shared" si="35"/>
        <v>0</v>
      </c>
      <c r="AM97" s="1">
        <f t="shared" si="36"/>
        <v>0</v>
      </c>
      <c r="AN97" s="1">
        <f t="shared" si="37"/>
        <v>0</v>
      </c>
      <c r="AO97" s="1">
        <f t="shared" si="38"/>
        <v>0</v>
      </c>
      <c r="AP97" s="1">
        <f t="shared" si="39"/>
        <v>0</v>
      </c>
      <c r="AT97" s="1">
        <v>3.266222</v>
      </c>
      <c r="AU97" s="1">
        <v>3.6061570000000001E-2</v>
      </c>
      <c r="AV97" s="1">
        <v>-105.95440000000001</v>
      </c>
      <c r="AW97" s="1">
        <v>3.0100009999999999</v>
      </c>
      <c r="AX97" s="1">
        <v>1.5700550000000001E-2</v>
      </c>
      <c r="AZ97" s="1">
        <f t="shared" si="40"/>
        <v>-1.84925313697508</v>
      </c>
      <c r="BA97" s="1">
        <f t="shared" si="41"/>
        <v>5.2534427938321838E-2</v>
      </c>
      <c r="BB97" s="1">
        <f t="shared" si="42"/>
        <v>2.740262918739957E-4</v>
      </c>
      <c r="BC97" s="1">
        <f t="shared" si="43"/>
        <v>1.2190504049999999</v>
      </c>
      <c r="BD97" s="1">
        <f t="shared" si="44"/>
        <v>6.3587227500000003E-3</v>
      </c>
      <c r="BE97" s="1">
        <f t="shared" si="45"/>
        <v>1.1177457781167259E-3</v>
      </c>
    </row>
    <row r="98" spans="1:57" x14ac:dyDescent="0.3">
      <c r="A98" s="1">
        <v>3.1662439999999998</v>
      </c>
      <c r="B98" s="1">
        <v>0.53541819999999996</v>
      </c>
      <c r="C98" s="1">
        <v>-96.575959999999995</v>
      </c>
      <c r="D98" s="1">
        <v>44.99353</v>
      </c>
      <c r="E98" s="1">
        <v>125.7897</v>
      </c>
      <c r="G98" s="1">
        <f t="shared" si="23"/>
        <v>-1.6855684802743427</v>
      </c>
      <c r="H98" s="1">
        <f t="shared" si="24"/>
        <v>0.78528524059484428</v>
      </c>
      <c r="I98" s="1">
        <f t="shared" si="25"/>
        <v>2.1954444300959111</v>
      </c>
      <c r="J98" s="1">
        <f t="shared" si="26"/>
        <v>0.31804052244091197</v>
      </c>
      <c r="K98" s="1">
        <f t="shared" si="27"/>
        <v>0.88915499418884403</v>
      </c>
      <c r="L98" s="1">
        <f t="shared" si="28"/>
        <v>0.24975252818392152</v>
      </c>
      <c r="AT98" s="1">
        <v>3.2995329999999998</v>
      </c>
      <c r="AU98" s="1">
        <v>3.605556E-2</v>
      </c>
      <c r="AV98" s="1">
        <v>-105.8541</v>
      </c>
      <c r="AW98" s="1">
        <v>3.010014</v>
      </c>
      <c r="AX98" s="1">
        <v>1.5153349999999999E-2</v>
      </c>
    </row>
    <row r="99" spans="1:57" x14ac:dyDescent="0.3">
      <c r="A99" s="1">
        <v>3.1995439999999999</v>
      </c>
      <c r="B99" s="1">
        <v>0.25784970000000001</v>
      </c>
      <c r="C99" s="1">
        <v>-95.082250000000002</v>
      </c>
      <c r="D99" s="1">
        <v>21.597989999999999</v>
      </c>
      <c r="E99" s="1">
        <v>-571.46199999999999</v>
      </c>
      <c r="G99" s="1">
        <f t="shared" si="23"/>
        <v>-1.6594983227043785</v>
      </c>
      <c r="H99" s="1">
        <f t="shared" si="24"/>
        <v>0.37695603731281013</v>
      </c>
      <c r="I99" s="1">
        <f t="shared" si="25"/>
        <v>-9.9738934500318344</v>
      </c>
      <c r="J99" s="1">
        <f t="shared" si="26"/>
        <v>0.15266719511168811</v>
      </c>
      <c r="K99" s="1">
        <f t="shared" si="27"/>
        <v>-4.0394268472628934</v>
      </c>
      <c r="L99" s="1">
        <f t="shared" si="28"/>
        <v>5.7548820896963573E-2</v>
      </c>
      <c r="AT99" s="1">
        <v>3.3328890000000002</v>
      </c>
      <c r="AU99" s="1">
        <v>3.605556E-2</v>
      </c>
      <c r="AV99" s="1">
        <v>-105.75369999999999</v>
      </c>
      <c r="AW99" s="1">
        <v>3.01051</v>
      </c>
      <c r="AX99" s="1">
        <v>1.460785E-2</v>
      </c>
    </row>
    <row r="100" spans="1:57" x14ac:dyDescent="0.3">
      <c r="A100" s="1">
        <v>3.2328779999999999</v>
      </c>
      <c r="B100" s="1">
        <v>3.152953E-3</v>
      </c>
      <c r="C100" s="1">
        <v>-95.13682</v>
      </c>
      <c r="D100" s="1">
        <v>3.6694259999999999E-2</v>
      </c>
      <c r="E100" s="1">
        <v>-372.13159999999999</v>
      </c>
      <c r="G100" s="1">
        <f t="shared" si="23"/>
        <v>-1.6604507488771918</v>
      </c>
      <c r="H100" s="1">
        <f t="shared" si="24"/>
        <v>6.4043565358285447E-4</v>
      </c>
      <c r="I100" s="1">
        <f t="shared" si="25"/>
        <v>-6.4949216707145299</v>
      </c>
      <c r="J100" s="1">
        <f t="shared" si="26"/>
        <v>2.5937643970105607E-4</v>
      </c>
      <c r="K100" s="1">
        <f t="shared" si="27"/>
        <v>-2.6304432766393848</v>
      </c>
      <c r="L100" s="1">
        <f t="shared" si="28"/>
        <v>1.6611391968393969E-7</v>
      </c>
      <c r="AT100" s="1">
        <v>3.3662000000000001</v>
      </c>
      <c r="AU100" s="1">
        <v>3.6073599999999997E-2</v>
      </c>
      <c r="AV100" s="1">
        <v>-105.6534</v>
      </c>
      <c r="AW100" s="1">
        <v>3.0124930000000001</v>
      </c>
      <c r="AX100" s="1">
        <v>1.405208E-2</v>
      </c>
    </row>
    <row r="101" spans="1:57" x14ac:dyDescent="0.3">
      <c r="A101" s="1">
        <v>3.266222</v>
      </c>
      <c r="B101" s="1">
        <v>9.1515260000000001E-3</v>
      </c>
      <c r="C101" s="1">
        <v>-95.079800000000006</v>
      </c>
      <c r="D101" s="1">
        <v>0.73096450000000002</v>
      </c>
      <c r="E101" s="1">
        <v>93.477670000000003</v>
      </c>
      <c r="G101" s="1">
        <f t="shared" si="23"/>
        <v>-1.6594555621377045</v>
      </c>
      <c r="H101" s="1">
        <f t="shared" si="24"/>
        <v>1.2757737240194092E-2</v>
      </c>
      <c r="I101" s="1">
        <f t="shared" si="25"/>
        <v>1.6314931185927277</v>
      </c>
      <c r="J101" s="1">
        <f t="shared" si="26"/>
        <v>5.1668835822786079E-3</v>
      </c>
      <c r="K101" s="1">
        <f t="shared" si="27"/>
        <v>0.66075471303005473</v>
      </c>
      <c r="L101" s="1">
        <f t="shared" si="28"/>
        <v>6.591774309338324E-5</v>
      </c>
      <c r="AT101" s="1">
        <v>3.3995220000000002</v>
      </c>
      <c r="AU101" s="1">
        <v>3.6061570000000001E-2</v>
      </c>
      <c r="AV101" s="1">
        <v>-105.553</v>
      </c>
      <c r="AW101" s="1">
        <v>3.0119479999999998</v>
      </c>
      <c r="AX101" s="1">
        <v>1.3507409999999999E-2</v>
      </c>
    </row>
    <row r="102" spans="1:57" x14ac:dyDescent="0.3">
      <c r="A102" s="1">
        <v>3.2995329999999998</v>
      </c>
      <c r="B102" s="1">
        <v>5.9166089999999998E-2</v>
      </c>
      <c r="C102" s="1">
        <v>-95.088089999999994</v>
      </c>
      <c r="D102" s="1">
        <v>5.0005360000000003</v>
      </c>
      <c r="E102" s="1">
        <v>302.18560000000002</v>
      </c>
      <c r="G102" s="1">
        <f t="shared" si="23"/>
        <v>-1.6596002499326945</v>
      </c>
      <c r="H102" s="1">
        <f t="shared" si="24"/>
        <v>8.7275817564507169E-2</v>
      </c>
      <c r="I102" s="1">
        <f t="shared" si="25"/>
        <v>5.2741336721145773</v>
      </c>
      <c r="J102" s="1">
        <f t="shared" si="26"/>
        <v>3.5346706113625406E-2</v>
      </c>
      <c r="K102" s="1">
        <f t="shared" si="27"/>
        <v>2.1360241372064039</v>
      </c>
      <c r="L102" s="1">
        <f t="shared" si="28"/>
        <v>3.0849126742790211E-3</v>
      </c>
      <c r="AT102" s="1">
        <v>3.4328560000000001</v>
      </c>
      <c r="AU102" s="1">
        <v>3.6061570000000001E-2</v>
      </c>
      <c r="AV102" s="1">
        <v>-105.4526</v>
      </c>
      <c r="AW102" s="1">
        <v>3.0123890000000002</v>
      </c>
      <c r="AX102" s="1">
        <v>1.29509E-2</v>
      </c>
    </row>
    <row r="103" spans="1:57" x14ac:dyDescent="0.3">
      <c r="A103" s="1">
        <v>3.3328669999999998</v>
      </c>
      <c r="B103" s="1">
        <v>0.24797050000000001</v>
      </c>
      <c r="C103" s="1">
        <v>-94.746549999999999</v>
      </c>
      <c r="D103" s="1">
        <v>20.978639999999999</v>
      </c>
      <c r="E103" s="1">
        <v>304.97469999999998</v>
      </c>
      <c r="G103" s="1">
        <f t="shared" si="23"/>
        <v>-1.6536392524054333</v>
      </c>
      <c r="H103" s="1">
        <f t="shared" si="24"/>
        <v>0.36614634059058315</v>
      </c>
      <c r="I103" s="1">
        <f t="shared" si="25"/>
        <v>5.3228126502819499</v>
      </c>
      <c r="J103" s="1">
        <f t="shared" si="26"/>
        <v>0.14828926793918618</v>
      </c>
      <c r="K103" s="1">
        <f t="shared" si="27"/>
        <v>2.15573912336419</v>
      </c>
      <c r="L103" s="1">
        <f t="shared" si="28"/>
        <v>5.4295572804789506E-2</v>
      </c>
      <c r="AT103" s="1">
        <v>3.4661780000000002</v>
      </c>
      <c r="AU103" s="1">
        <v>3.6061570000000001E-2</v>
      </c>
      <c r="AV103" s="1">
        <v>-105.3522</v>
      </c>
      <c r="AW103" s="1">
        <v>3.0128119999999998</v>
      </c>
      <c r="AX103" s="1">
        <v>1.239635E-2</v>
      </c>
    </row>
    <row r="104" spans="1:57" x14ac:dyDescent="0.3">
      <c r="A104" s="1">
        <v>3.3662109999999998</v>
      </c>
      <c r="B104" s="1">
        <v>0.33278099999999999</v>
      </c>
      <c r="C104" s="1">
        <v>-93.68929</v>
      </c>
      <c r="D104" s="1">
        <v>28.15269</v>
      </c>
      <c r="E104" s="1">
        <v>135.5163</v>
      </c>
      <c r="G104" s="1">
        <f t="shared" si="23"/>
        <v>-1.6351865843557982</v>
      </c>
      <c r="H104" s="1">
        <f t="shared" si="24"/>
        <v>0.49135713379328239</v>
      </c>
      <c r="I104" s="1">
        <f t="shared" si="25"/>
        <v>2.3652056251203915</v>
      </c>
      <c r="J104" s="1">
        <f t="shared" si="26"/>
        <v>0.19899963918627939</v>
      </c>
      <c r="K104" s="1">
        <f t="shared" si="27"/>
        <v>0.95790827817375857</v>
      </c>
      <c r="L104" s="1">
        <f t="shared" si="28"/>
        <v>9.7779892336467597E-2</v>
      </c>
      <c r="AT104" s="1">
        <v>3.499511</v>
      </c>
      <c r="AU104" s="1">
        <v>3.605556E-2</v>
      </c>
      <c r="AV104" s="1">
        <v>-105.2518</v>
      </c>
      <c r="AW104" s="1">
        <v>3.0127130000000002</v>
      </c>
      <c r="AX104" s="1">
        <v>994.26139999999998</v>
      </c>
    </row>
    <row r="105" spans="1:57" x14ac:dyDescent="0.3">
      <c r="A105" s="1">
        <v>3.3995220000000002</v>
      </c>
      <c r="B105" s="1">
        <v>0.32037870000000002</v>
      </c>
      <c r="C105" s="1">
        <v>-92.870009999999994</v>
      </c>
      <c r="D105" s="1">
        <v>27.106870000000001</v>
      </c>
      <c r="E105" s="1">
        <v>39.136290000000002</v>
      </c>
      <c r="G105" s="1">
        <f t="shared" si="23"/>
        <v>-1.620887450860059</v>
      </c>
      <c r="H105" s="1">
        <f t="shared" si="24"/>
        <v>0.47310413141007535</v>
      </c>
      <c r="I105" s="1">
        <f t="shared" si="25"/>
        <v>0.6830571175153316</v>
      </c>
      <c r="J105" s="1">
        <f t="shared" si="26"/>
        <v>0.19160717322108053</v>
      </c>
      <c r="K105" s="1">
        <f t="shared" si="27"/>
        <v>0.27663813259370934</v>
      </c>
      <c r="L105" s="1">
        <f t="shared" si="28"/>
        <v>9.0650145258699147E-2</v>
      </c>
      <c r="AT105" s="1">
        <v>3.5328439999999999</v>
      </c>
      <c r="AU105" s="1">
        <v>0.72917140000000003</v>
      </c>
      <c r="AV105" s="1">
        <v>-105.1514</v>
      </c>
      <c r="AW105" s="1">
        <v>61.000830000000001</v>
      </c>
      <c r="AX105" s="1">
        <v>1400.56</v>
      </c>
    </row>
    <row r="106" spans="1:57" x14ac:dyDescent="0.3">
      <c r="A106" s="1">
        <v>3.4328669999999999</v>
      </c>
      <c r="B106" s="1">
        <v>0.37468889999999999</v>
      </c>
      <c r="C106" s="1">
        <v>-91.882459999999995</v>
      </c>
      <c r="D106" s="1">
        <v>31.69755</v>
      </c>
      <c r="E106" s="1">
        <v>95.526719999999997</v>
      </c>
      <c r="G106" s="1">
        <f t="shared" si="23"/>
        <v>-1.6036514518319889</v>
      </c>
      <c r="H106" s="1">
        <f t="shared" si="24"/>
        <v>0.55322661231552861</v>
      </c>
      <c r="I106" s="1">
        <f t="shared" si="25"/>
        <v>1.6672557876307177</v>
      </c>
      <c r="J106" s="1">
        <f t="shared" si="26"/>
        <v>0.22405677798778911</v>
      </c>
      <c r="K106" s="1">
        <f t="shared" si="27"/>
        <v>0.67523859399044073</v>
      </c>
      <c r="L106" s="1">
        <f t="shared" si="28"/>
        <v>0.12395417225251706</v>
      </c>
      <c r="AT106" s="1">
        <v>3.5661890000000001</v>
      </c>
      <c r="AU106" s="1">
        <v>1.35829</v>
      </c>
      <c r="AV106" s="1">
        <v>-101.1844</v>
      </c>
      <c r="AW106" s="1">
        <v>113.7218</v>
      </c>
      <c r="AX106" s="1">
        <v>1063.93</v>
      </c>
    </row>
    <row r="107" spans="1:57" x14ac:dyDescent="0.3">
      <c r="A107" s="1">
        <v>3.4661780000000002</v>
      </c>
      <c r="B107" s="1">
        <v>0.39852989999999999</v>
      </c>
      <c r="C107" s="1">
        <v>-90.757189999999994</v>
      </c>
      <c r="D107" s="1">
        <v>33.701999999999998</v>
      </c>
      <c r="E107" s="1">
        <v>47.58278</v>
      </c>
      <c r="G107" s="1">
        <f t="shared" si="23"/>
        <v>-1.5840117853580722</v>
      </c>
      <c r="H107" s="1">
        <f t="shared" si="24"/>
        <v>0.58821086450712889</v>
      </c>
      <c r="I107" s="1">
        <f t="shared" si="25"/>
        <v>0.8304761782521074</v>
      </c>
      <c r="J107" s="1">
        <f t="shared" si="26"/>
        <v>0.2382254001253872</v>
      </c>
      <c r="K107" s="1">
        <f t="shared" si="27"/>
        <v>0.33634285219210353</v>
      </c>
      <c r="L107" s="1">
        <f t="shared" si="28"/>
        <v>0.1401267685553107</v>
      </c>
      <c r="AT107" s="1">
        <v>3.5994890000000002</v>
      </c>
      <c r="AU107" s="1">
        <v>1.437446</v>
      </c>
      <c r="AV107" s="1">
        <v>-97.572429999999997</v>
      </c>
      <c r="AW107" s="1">
        <v>120.45050000000001</v>
      </c>
      <c r="AX107" s="1">
        <v>135.5188</v>
      </c>
    </row>
    <row r="108" spans="1:57" x14ac:dyDescent="0.3">
      <c r="A108" s="1">
        <v>3.4995440000000002</v>
      </c>
      <c r="B108" s="1">
        <v>0.40745540000000002</v>
      </c>
      <c r="C108" s="1">
        <v>-89.635289999999998</v>
      </c>
      <c r="D108" s="1">
        <v>34.436990000000002</v>
      </c>
      <c r="E108" s="1">
        <v>31.002220000000001</v>
      </c>
      <c r="G108" s="1">
        <f t="shared" si="23"/>
        <v>-1.564430936479948</v>
      </c>
      <c r="H108" s="1">
        <f t="shared" si="24"/>
        <v>0.60103885997636208</v>
      </c>
      <c r="I108" s="1">
        <f t="shared" si="25"/>
        <v>0.5410908144276364</v>
      </c>
      <c r="J108" s="1">
        <f t="shared" si="26"/>
        <v>0.24342073829042665</v>
      </c>
      <c r="K108" s="1">
        <f t="shared" si="27"/>
        <v>0.21914177984319275</v>
      </c>
      <c r="L108" s="1">
        <f t="shared" si="28"/>
        <v>0.14630532303668242</v>
      </c>
      <c r="AT108" s="1">
        <v>3.632822</v>
      </c>
      <c r="AU108" s="1">
        <v>1.5215719999999999</v>
      </c>
      <c r="AV108" s="1">
        <v>-93.158360000000002</v>
      </c>
      <c r="AW108" s="1">
        <v>127.5624</v>
      </c>
      <c r="AX108" s="1">
        <v>158.215</v>
      </c>
    </row>
    <row r="109" spans="1:57" x14ac:dyDescent="0.3">
      <c r="A109" s="1">
        <v>3.5328560000000002</v>
      </c>
      <c r="B109" s="1">
        <v>0.42506129999999998</v>
      </c>
      <c r="C109" s="1">
        <v>-88.461010000000002</v>
      </c>
      <c r="D109" s="1">
        <v>35.931890000000003</v>
      </c>
      <c r="E109" s="1">
        <v>-694.51679999999999</v>
      </c>
      <c r="G109" s="1">
        <f t="shared" si="23"/>
        <v>-1.5439358841396291</v>
      </c>
      <c r="H109" s="1">
        <f t="shared" si="24"/>
        <v>0.62712978696442534</v>
      </c>
      <c r="I109" s="1">
        <f t="shared" si="25"/>
        <v>-12.121604870414954</v>
      </c>
      <c r="J109" s="1">
        <f t="shared" si="26"/>
        <v>0.25398756372059228</v>
      </c>
      <c r="K109" s="1">
        <f t="shared" si="27"/>
        <v>-4.9092499725180563</v>
      </c>
      <c r="L109" s="1">
        <f t="shared" si="28"/>
        <v>0.15928316672770845</v>
      </c>
      <c r="AT109" s="1">
        <v>3.6661779999999999</v>
      </c>
      <c r="AU109" s="1">
        <v>1.5163310000000001</v>
      </c>
      <c r="AV109" s="1">
        <v>-89.065430000000006</v>
      </c>
      <c r="AW109" s="1">
        <v>127.2261</v>
      </c>
      <c r="AX109" s="1">
        <v>-6.6958250000000001</v>
      </c>
    </row>
    <row r="110" spans="1:57" x14ac:dyDescent="0.3">
      <c r="A110" s="1">
        <v>3.5661670000000001</v>
      </c>
      <c r="B110" s="1">
        <v>8.2712220000000003E-2</v>
      </c>
      <c r="C110" s="1">
        <v>-87.241429999999994</v>
      </c>
      <c r="D110" s="1">
        <v>-5.7260580000000001</v>
      </c>
      <c r="E110" s="1">
        <v>-370.38080000000002</v>
      </c>
      <c r="G110" s="1">
        <f t="shared" si="23"/>
        <v>-1.5226501976481563</v>
      </c>
      <c r="H110" s="1">
        <f t="shared" si="24"/>
        <v>-9.9938565260161455E-2</v>
      </c>
      <c r="I110" s="1">
        <f t="shared" si="25"/>
        <v>-6.464364446170614</v>
      </c>
      <c r="J110" s="1">
        <f t="shared" si="26"/>
        <v>-4.0475118930365393E-2</v>
      </c>
      <c r="K110" s="1">
        <f t="shared" si="27"/>
        <v>-2.6180676006990988</v>
      </c>
      <c r="L110" s="1">
        <f t="shared" si="28"/>
        <v>4.0450253146351181E-3</v>
      </c>
      <c r="AT110" s="1">
        <v>3.699478</v>
      </c>
      <c r="AU110" s="1">
        <v>1.5429349999999999</v>
      </c>
      <c r="AV110" s="1">
        <v>-84.678039999999996</v>
      </c>
      <c r="AW110" s="1">
        <v>129.48759999999999</v>
      </c>
      <c r="AX110" s="1">
        <v>-130.11250000000001</v>
      </c>
    </row>
    <row r="111" spans="1:57" x14ac:dyDescent="0.3">
      <c r="A111" s="1">
        <v>3.5994999999999999</v>
      </c>
      <c r="B111" s="1">
        <v>9.1212440000000006E-2</v>
      </c>
      <c r="C111" s="1">
        <v>-88.842619999999997</v>
      </c>
      <c r="D111" s="1">
        <v>-6.8464799999999997</v>
      </c>
      <c r="E111" s="1">
        <v>308.19900000000001</v>
      </c>
      <c r="G111" s="1">
        <f t="shared" si="23"/>
        <v>-1.5505962350981646</v>
      </c>
      <c r="H111" s="1">
        <f t="shared" si="24"/>
        <v>-0.11949361817194136</v>
      </c>
      <c r="I111" s="1">
        <f t="shared" si="25"/>
        <v>5.3790873013540041</v>
      </c>
      <c r="J111" s="1">
        <f t="shared" si="26"/>
        <v>-4.8394915359636255E-2</v>
      </c>
      <c r="K111" s="1">
        <f t="shared" si="27"/>
        <v>2.1785303570483716</v>
      </c>
      <c r="L111" s="1">
        <f t="shared" si="28"/>
        <v>5.7828835374477945E-3</v>
      </c>
      <c r="AT111" s="1">
        <v>3.7328109999999999</v>
      </c>
      <c r="AU111" s="1">
        <v>1.4125799999999999</v>
      </c>
      <c r="AV111" s="1">
        <v>-80.437240000000003</v>
      </c>
      <c r="AW111" s="1">
        <v>118.5378</v>
      </c>
      <c r="AX111" s="1">
        <v>-320.31259999999997</v>
      </c>
    </row>
    <row r="112" spans="1:57" x14ac:dyDescent="0.3">
      <c r="A112" s="1">
        <v>3.6328670000000001</v>
      </c>
      <c r="B112" s="1">
        <v>0.38683600000000001</v>
      </c>
      <c r="C112" s="1">
        <v>-87.698089999999993</v>
      </c>
      <c r="D112" s="1">
        <v>32.83867</v>
      </c>
      <c r="E112" s="1">
        <v>657.90170000000001</v>
      </c>
      <c r="G112" s="1">
        <f t="shared" si="23"/>
        <v>-1.5306204182103136</v>
      </c>
      <c r="H112" s="1">
        <f t="shared" si="24"/>
        <v>0.57314291347588631</v>
      </c>
      <c r="I112" s="1">
        <f t="shared" si="25"/>
        <v>11.482550819467976</v>
      </c>
      <c r="J112" s="1">
        <f t="shared" si="26"/>
        <v>0.23212287995773398</v>
      </c>
      <c r="K112" s="1">
        <f t="shared" si="27"/>
        <v>4.6504330818845308</v>
      </c>
      <c r="L112" s="1">
        <f t="shared" si="28"/>
        <v>0.13303958370338906</v>
      </c>
      <c r="AT112" s="1">
        <v>3.766133</v>
      </c>
      <c r="AU112" s="1">
        <v>1.2683629999999999</v>
      </c>
      <c r="AV112" s="1">
        <v>-76.776830000000004</v>
      </c>
      <c r="AW112" s="1">
        <v>106.4152</v>
      </c>
      <c r="AX112" s="1">
        <v>-271.53949999999998</v>
      </c>
    </row>
    <row r="113" spans="1:50" x14ac:dyDescent="0.3">
      <c r="A113" s="1">
        <v>3.6661779999999999</v>
      </c>
      <c r="B113" s="1">
        <v>0.36279499999999998</v>
      </c>
      <c r="C113" s="1">
        <v>-86.653009999999995</v>
      </c>
      <c r="D113" s="1">
        <v>30.795839999999998</v>
      </c>
      <c r="E113" s="1">
        <v>-72.199430000000007</v>
      </c>
      <c r="G113" s="1">
        <f t="shared" si="23"/>
        <v>-1.5123803312635715</v>
      </c>
      <c r="H113" s="1">
        <f t="shared" si="24"/>
        <v>0.53748880391737042</v>
      </c>
      <c r="I113" s="1">
        <f t="shared" si="25"/>
        <v>-1.2601177715631697</v>
      </c>
      <c r="J113" s="1">
        <f t="shared" si="26"/>
        <v>0.21768296558653502</v>
      </c>
      <c r="K113" s="1">
        <f t="shared" si="27"/>
        <v>-0.51034769748308373</v>
      </c>
      <c r="L113" s="1">
        <f t="shared" si="28"/>
        <v>0.11700215680629282</v>
      </c>
      <c r="AT113" s="1">
        <v>3.7994669999999999</v>
      </c>
      <c r="AU113" s="1">
        <v>1.204331</v>
      </c>
      <c r="AV113" s="1">
        <v>-73.344080000000005</v>
      </c>
      <c r="AW113" s="1">
        <v>100.9735</v>
      </c>
      <c r="AX113" s="1">
        <v>-161.66499999999999</v>
      </c>
    </row>
    <row r="114" spans="1:50" x14ac:dyDescent="0.3">
      <c r="A114" s="1">
        <v>3.6994889999999998</v>
      </c>
      <c r="B114" s="1">
        <v>0.33407019999999998</v>
      </c>
      <c r="C114" s="1">
        <v>-85.6464</v>
      </c>
      <c r="D114" s="1">
        <v>28.359670000000001</v>
      </c>
      <c r="E114" s="1">
        <v>-101.4472</v>
      </c>
      <c r="G114" s="1">
        <f t="shared" si="23"/>
        <v>-1.4948116724800715</v>
      </c>
      <c r="H114" s="1">
        <f t="shared" si="24"/>
        <v>0.49496961627906028</v>
      </c>
      <c r="I114" s="1">
        <f t="shared" si="25"/>
        <v>-1.7705876569291914</v>
      </c>
      <c r="J114" s="1">
        <f t="shared" si="26"/>
        <v>0.20046269459301944</v>
      </c>
      <c r="K114" s="1">
        <f t="shared" si="27"/>
        <v>-0.71708800105632253</v>
      </c>
      <c r="L114" s="1">
        <f t="shared" si="28"/>
        <v>9.9222943020973273E-2</v>
      </c>
      <c r="AT114" s="1">
        <v>3.8328000000000002</v>
      </c>
      <c r="AU114" s="1">
        <v>1.144995</v>
      </c>
      <c r="AV114" s="1">
        <v>-70.045270000000002</v>
      </c>
      <c r="AW114" s="1">
        <v>95.96396</v>
      </c>
    </row>
    <row r="115" spans="1:50" x14ac:dyDescent="0.3">
      <c r="A115" s="1">
        <v>3.7328109999999999</v>
      </c>
      <c r="B115" s="1">
        <v>0.28193109999999999</v>
      </c>
      <c r="C115" s="1">
        <v>-84.763310000000004</v>
      </c>
      <c r="D115" s="1">
        <v>23.939990000000002</v>
      </c>
      <c r="E115" s="1">
        <v>-140.92400000000001</v>
      </c>
      <c r="G115" s="1">
        <f t="shared" si="23"/>
        <v>-1.4793988443886348</v>
      </c>
      <c r="H115" s="1">
        <f t="shared" si="24"/>
        <v>0.41783164839451736</v>
      </c>
      <c r="I115" s="1">
        <f t="shared" si="25"/>
        <v>-2.459587795080489</v>
      </c>
      <c r="J115" s="1">
        <f t="shared" si="26"/>
        <v>0.16922181759977956</v>
      </c>
      <c r="K115" s="1">
        <f t="shared" si="27"/>
        <v>-0.99613305700759813</v>
      </c>
      <c r="L115" s="1">
        <f t="shared" si="28"/>
        <v>7.0706230992032243E-2</v>
      </c>
      <c r="AT115" s="1">
        <v>3.866133</v>
      </c>
      <c r="AV115" s="1">
        <v>-66.946479999999994</v>
      </c>
    </row>
    <row r="116" spans="1:50" x14ac:dyDescent="0.3">
      <c r="A116" s="1">
        <v>3.7661440000000002</v>
      </c>
      <c r="B116" s="1">
        <v>0.2221388</v>
      </c>
      <c r="C116" s="1">
        <v>-84.050659999999993</v>
      </c>
      <c r="D116" s="1">
        <v>18.85529</v>
      </c>
      <c r="E116" s="1">
        <v>535.36199999999997</v>
      </c>
      <c r="G116" s="1">
        <f t="shared" si="23"/>
        <v>-1.4669607554742969</v>
      </c>
      <c r="H116" s="1">
        <f t="shared" si="24"/>
        <v>0.3290868919183616</v>
      </c>
      <c r="I116" s="1">
        <f t="shared" si="25"/>
        <v>9.3438295900618815</v>
      </c>
      <c r="J116" s="1">
        <f t="shared" si="26"/>
        <v>0.13328019122693646</v>
      </c>
      <c r="K116" s="1">
        <f t="shared" si="27"/>
        <v>3.7842509839750624</v>
      </c>
      <c r="L116" s="1">
        <f t="shared" si="28"/>
        <v>4.3860763885157403E-2</v>
      </c>
    </row>
    <row r="117" spans="1:50" x14ac:dyDescent="0.3">
      <c r="A117" s="1">
        <v>3.7994669999999999</v>
      </c>
      <c r="B117" s="1">
        <v>0.64827009999999996</v>
      </c>
      <c r="C117" s="1">
        <v>-83.506500000000003</v>
      </c>
      <c r="D117" s="1">
        <v>53.900359999999999</v>
      </c>
      <c r="E117" s="1">
        <v>178.64169999999999</v>
      </c>
      <c r="G117" s="1">
        <f t="shared" si="23"/>
        <v>-1.4574633718166448</v>
      </c>
      <c r="H117" s="1">
        <f t="shared" si="24"/>
        <v>0.94073875001025076</v>
      </c>
      <c r="I117" s="1">
        <f t="shared" si="25"/>
        <v>3.1178858463599535</v>
      </c>
      <c r="J117" s="1">
        <f t="shared" si="26"/>
        <v>0.38099919375415159</v>
      </c>
      <c r="K117" s="1">
        <f t="shared" si="27"/>
        <v>1.2627437677757813</v>
      </c>
      <c r="L117" s="1">
        <f t="shared" si="28"/>
        <v>0.35842070528719394</v>
      </c>
    </row>
    <row r="118" spans="1:50" x14ac:dyDescent="0.3">
      <c r="A118" s="1">
        <v>3.8328000000000002</v>
      </c>
      <c r="B118" s="1">
        <v>0.58086230000000005</v>
      </c>
      <c r="C118" s="1">
        <v>-80.457909999999998</v>
      </c>
      <c r="D118" s="1">
        <v>48.054459999999999</v>
      </c>
      <c r="E118" s="1">
        <v>-503.11520000000002</v>
      </c>
      <c r="G118" s="1">
        <f t="shared" si="23"/>
        <v>-1.4042554387732709</v>
      </c>
      <c r="H118" s="1">
        <f t="shared" si="24"/>
        <v>0.83870854726791433</v>
      </c>
      <c r="I118" s="1">
        <f t="shared" si="25"/>
        <v>-8.781016756829775</v>
      </c>
      <c r="J118" s="1">
        <f t="shared" si="26"/>
        <v>0.3396769616435053</v>
      </c>
      <c r="K118" s="1">
        <f t="shared" si="27"/>
        <v>-3.5563117865160589</v>
      </c>
      <c r="L118" s="1">
        <f t="shared" si="28"/>
        <v>0.28488997104040342</v>
      </c>
    </row>
    <row r="119" spans="1:50" x14ac:dyDescent="0.3">
      <c r="A119" s="1">
        <v>3.866133</v>
      </c>
      <c r="B119" s="1">
        <v>3.412217E-2</v>
      </c>
      <c r="C119" s="1">
        <v>-80.302869999999999</v>
      </c>
      <c r="D119" s="1">
        <v>2.8461319999999999</v>
      </c>
      <c r="E119" s="1">
        <v>-808.86019999999996</v>
      </c>
      <c r="G119" s="1">
        <f t="shared" si="23"/>
        <v>-1.4015494803009789</v>
      </c>
      <c r="H119" s="1">
        <f t="shared" si="24"/>
        <v>4.9674374346371251E-2</v>
      </c>
      <c r="I119" s="1">
        <f t="shared" si="25"/>
        <v>-14.117273678339838</v>
      </c>
      <c r="J119" s="1">
        <f t="shared" si="26"/>
        <v>2.0118121610280357E-2</v>
      </c>
      <c r="K119" s="1">
        <f t="shared" si="27"/>
        <v>-5.7174958397276345</v>
      </c>
      <c r="L119" s="1">
        <f t="shared" si="28"/>
        <v>9.993551040148878E-4</v>
      </c>
    </row>
    <row r="120" spans="1:50" x14ac:dyDescent="0.3">
      <c r="A120" s="1">
        <v>3.899467</v>
      </c>
      <c r="B120" s="1">
        <v>2.050722E-3</v>
      </c>
      <c r="C120" s="1">
        <v>-80.268159999999995</v>
      </c>
      <c r="D120" s="1">
        <v>-2.361487E-2</v>
      </c>
      <c r="E120" s="1">
        <v>-168.6182</v>
      </c>
      <c r="G120" s="1">
        <f t="shared" si="23"/>
        <v>-1.4009436765176115</v>
      </c>
      <c r="H120" s="1">
        <f t="shared" si="24"/>
        <v>-4.1215723393043331E-4</v>
      </c>
      <c r="I120" s="1">
        <f t="shared" si="25"/>
        <v>-2.9429427687863026</v>
      </c>
      <c r="J120" s="1">
        <f t="shared" si="26"/>
        <v>-1.6692367974182549E-4</v>
      </c>
      <c r="K120" s="1">
        <f t="shared" si="27"/>
        <v>-1.1918918213584526</v>
      </c>
      <c r="L120" s="1">
        <f t="shared" si="28"/>
        <v>6.8798802119880298E-8</v>
      </c>
    </row>
    <row r="121" spans="1:50" x14ac:dyDescent="0.3">
      <c r="A121" s="1">
        <v>3.9327890000000001</v>
      </c>
      <c r="B121" s="1">
        <v>8.9623620000000001E-2</v>
      </c>
      <c r="C121" s="1">
        <v>-80.304450000000003</v>
      </c>
      <c r="D121" s="1">
        <v>-7.521992</v>
      </c>
      <c r="E121" s="1">
        <v>-202.381</v>
      </c>
      <c r="G121" s="1">
        <f t="shared" si="23"/>
        <v>-1.4015770565031604</v>
      </c>
      <c r="H121" s="1">
        <f t="shared" si="24"/>
        <v>-0.13128352670867333</v>
      </c>
      <c r="I121" s="1">
        <f t="shared" si="25"/>
        <v>-3.5322147934786439</v>
      </c>
      <c r="J121" s="1">
        <f t="shared" si="26"/>
        <v>-5.3169828317012703E-2</v>
      </c>
      <c r="K121" s="1">
        <f t="shared" si="27"/>
        <v>-1.4305469913588509</v>
      </c>
      <c r="L121" s="1">
        <f t="shared" si="28"/>
        <v>6.9803225759521121E-3</v>
      </c>
    </row>
    <row r="122" spans="1:50" x14ac:dyDescent="0.3">
      <c r="A122" s="1">
        <v>3.9661219999999999</v>
      </c>
      <c r="B122" s="1">
        <v>0.17923359999999999</v>
      </c>
      <c r="C122" s="1">
        <v>-80.769549999999995</v>
      </c>
      <c r="D122" s="1">
        <v>-15.04224</v>
      </c>
      <c r="E122" s="1">
        <v>-178.7045</v>
      </c>
      <c r="G122" s="1">
        <f t="shared" si="23"/>
        <v>-1.409694582854186</v>
      </c>
      <c r="H122" s="1">
        <f t="shared" si="24"/>
        <v>-0.26253661487519181</v>
      </c>
      <c r="I122" s="1">
        <f t="shared" si="25"/>
        <v>-3.1189819131302063</v>
      </c>
      <c r="J122" s="1">
        <f t="shared" si="26"/>
        <v>-0.10632732902445269</v>
      </c>
      <c r="K122" s="1">
        <f t="shared" si="27"/>
        <v>-1.2631876748177338</v>
      </c>
      <c r="L122" s="1">
        <f t="shared" si="28"/>
        <v>2.7914817030800541E-2</v>
      </c>
    </row>
    <row r="123" spans="1:50" x14ac:dyDescent="0.3">
      <c r="A123" s="1">
        <v>3.9994779999999999</v>
      </c>
      <c r="B123" s="1">
        <v>0.22027089999999999</v>
      </c>
      <c r="C123" s="1">
        <v>-81.307599999999994</v>
      </c>
      <c r="D123" s="1">
        <v>-18.490570000000002</v>
      </c>
      <c r="E123" s="1">
        <v>-116.50109999999999</v>
      </c>
      <c r="G123" s="1">
        <f t="shared" si="23"/>
        <v>-1.4190853268945414</v>
      </c>
      <c r="H123" s="1">
        <f t="shared" si="24"/>
        <v>-0.32272132707048795</v>
      </c>
      <c r="I123" s="1">
        <f t="shared" si="25"/>
        <v>-2.0333277771951659</v>
      </c>
      <c r="J123" s="1">
        <f t="shared" si="26"/>
        <v>-0.13070213746354764</v>
      </c>
      <c r="K123" s="1">
        <f t="shared" si="27"/>
        <v>-0.82349774976404222</v>
      </c>
      <c r="L123" s="1">
        <f t="shared" si="28"/>
        <v>4.2180367253185427E-2</v>
      </c>
    </row>
    <row r="124" spans="1:50" x14ac:dyDescent="0.3">
      <c r="A124" s="1">
        <v>4.0327890000000002</v>
      </c>
      <c r="B124" s="1">
        <v>0.2743698</v>
      </c>
      <c r="C124" s="1">
        <v>-82.002250000000004</v>
      </c>
      <c r="D124" s="1">
        <v>-23.030760000000001</v>
      </c>
      <c r="E124" s="1">
        <v>-125.3467</v>
      </c>
      <c r="G124" s="1">
        <f t="shared" si="23"/>
        <v>-1.4312092565435199</v>
      </c>
      <c r="H124" s="1">
        <f t="shared" si="24"/>
        <v>-0.40196259123660927</v>
      </c>
      <c r="I124" s="1">
        <f t="shared" si="25"/>
        <v>-2.1877126215095761</v>
      </c>
      <c r="J124" s="1">
        <f t="shared" si="26"/>
        <v>-0.16279484945082676</v>
      </c>
      <c r="K124" s="1">
        <f t="shared" si="27"/>
        <v>-0.88602361171137844</v>
      </c>
      <c r="L124" s="1">
        <f t="shared" si="28"/>
        <v>6.5437439525228028E-2</v>
      </c>
    </row>
    <row r="125" spans="1:50" x14ac:dyDescent="0.3">
      <c r="A125" s="1">
        <v>4.0660999999999996</v>
      </c>
      <c r="B125" s="1">
        <v>0.32026290000000002</v>
      </c>
      <c r="C125" s="1">
        <v>-82.84196</v>
      </c>
      <c r="D125" s="1">
        <v>-26.893630000000002</v>
      </c>
      <c r="E125" s="1">
        <v>-102.0651</v>
      </c>
      <c r="G125" s="1">
        <f t="shared" si="23"/>
        <v>-1.4458649608054417</v>
      </c>
      <c r="H125" s="1">
        <f t="shared" si="24"/>
        <v>-0.46938239131312265</v>
      </c>
      <c r="I125" s="1">
        <f t="shared" si="25"/>
        <v>-1.7813720463772644</v>
      </c>
      <c r="J125" s="1">
        <f t="shared" si="26"/>
        <v>-0.19009986848181468</v>
      </c>
      <c r="K125" s="1">
        <f t="shared" si="27"/>
        <v>-0.72145567878279215</v>
      </c>
      <c r="L125" s="1">
        <f t="shared" si="28"/>
        <v>8.9229530856304293E-2</v>
      </c>
    </row>
    <row r="126" spans="1:50" x14ac:dyDescent="0.3">
      <c r="A126" s="1">
        <v>4.0994440000000001</v>
      </c>
      <c r="B126" s="1">
        <v>0.35492610000000002</v>
      </c>
      <c r="C126" s="1">
        <v>-83.79486</v>
      </c>
      <c r="D126" s="1">
        <v>-29.818180000000002</v>
      </c>
      <c r="E126" s="1">
        <v>-82.280230000000003</v>
      </c>
      <c r="G126" s="1">
        <f t="shared" si="23"/>
        <v>-1.4624962032476956</v>
      </c>
      <c r="H126" s="1">
        <f t="shared" si="24"/>
        <v>-0.52042541795232278</v>
      </c>
      <c r="I126" s="1">
        <f t="shared" si="25"/>
        <v>-1.4360609227982137</v>
      </c>
      <c r="J126" s="1">
        <f t="shared" si="26"/>
        <v>-0.21077229427069075</v>
      </c>
      <c r="K126" s="1">
        <f t="shared" si="27"/>
        <v>-0.58160467373327662</v>
      </c>
      <c r="L126" s="1">
        <f t="shared" si="28"/>
        <v>0.10969125933859419</v>
      </c>
    </row>
    <row r="127" spans="1:50" x14ac:dyDescent="0.3">
      <c r="A127" s="1">
        <v>4.1327559999999997</v>
      </c>
      <c r="B127" s="1">
        <v>0.38457249999999998</v>
      </c>
      <c r="C127" s="1">
        <v>-84.829509999999999</v>
      </c>
      <c r="D127" s="1">
        <v>-32.31026</v>
      </c>
      <c r="E127" s="1">
        <v>-71.925550000000001</v>
      </c>
      <c r="G127" s="1">
        <f t="shared" si="23"/>
        <v>-1.4805542523534549</v>
      </c>
      <c r="H127" s="1">
        <f t="shared" si="24"/>
        <v>-0.56392041917542302</v>
      </c>
      <c r="I127" s="1">
        <f t="shared" si="25"/>
        <v>-1.2553376638078075</v>
      </c>
      <c r="J127" s="1">
        <f t="shared" si="26"/>
        <v>-0.22838776976604633</v>
      </c>
      <c r="K127" s="1">
        <f t="shared" si="27"/>
        <v>-0.50841175384216208</v>
      </c>
      <c r="L127" s="1">
        <f t="shared" si="28"/>
        <v>0.12879252686100887</v>
      </c>
    </row>
    <row r="128" spans="1:50" x14ac:dyDescent="0.3">
      <c r="A128" s="1">
        <v>4.1660890000000004</v>
      </c>
      <c r="B128" s="1">
        <v>0.41212140000000003</v>
      </c>
      <c r="C128" s="1">
        <v>-85.948160000000001</v>
      </c>
      <c r="D128" s="1">
        <v>-34.643320000000003</v>
      </c>
      <c r="E128" s="1">
        <v>-51.927729999999997</v>
      </c>
      <c r="G128" s="1">
        <f t="shared" si="23"/>
        <v>-1.5000783780308897</v>
      </c>
      <c r="H128" s="1">
        <f t="shared" si="24"/>
        <v>-0.60463999782200206</v>
      </c>
      <c r="I128" s="1">
        <f t="shared" si="25"/>
        <v>-0.90630986158663507</v>
      </c>
      <c r="J128" s="1">
        <f t="shared" si="26"/>
        <v>-0.24487919911791084</v>
      </c>
      <c r="K128" s="1">
        <f t="shared" si="27"/>
        <v>-0.36705549394258724</v>
      </c>
      <c r="L128" s="1">
        <f t="shared" si="28"/>
        <v>0.14806375842130723</v>
      </c>
    </row>
    <row r="129" spans="1:12" x14ac:dyDescent="0.3">
      <c r="A129" s="1">
        <v>4.1994109999999996</v>
      </c>
      <c r="B129" s="1">
        <v>0.42658790000000002</v>
      </c>
      <c r="C129" s="1">
        <v>-87.138679999999994</v>
      </c>
      <c r="D129" s="1">
        <v>-35.877499999999998</v>
      </c>
      <c r="E129" s="1">
        <v>-22.687000000000001</v>
      </c>
      <c r="G129" s="1">
        <f t="shared" si="23"/>
        <v>-1.5208568718417321</v>
      </c>
      <c r="H129" s="1">
        <f t="shared" si="24"/>
        <v>-0.62618050238426559</v>
      </c>
      <c r="I129" s="1">
        <f t="shared" si="25"/>
        <v>-0.39596284739995352</v>
      </c>
      <c r="J129" s="1">
        <f t="shared" si="26"/>
        <v>-0.25360310346562759</v>
      </c>
      <c r="K129" s="1">
        <f t="shared" si="27"/>
        <v>-0.16036495319698119</v>
      </c>
      <c r="L129" s="1">
        <f t="shared" si="28"/>
        <v>0.15880131873431558</v>
      </c>
    </row>
    <row r="130" spans="1:12" x14ac:dyDescent="0.3">
      <c r="A130" s="1">
        <v>4.2327329999999996</v>
      </c>
      <c r="B130" s="1">
        <v>0.4309211</v>
      </c>
      <c r="C130" s="1">
        <v>-88.339200000000005</v>
      </c>
      <c r="D130" s="1">
        <v>-36.041559999999997</v>
      </c>
      <c r="E130" s="1">
        <v>19.413260000000001</v>
      </c>
      <c r="G130" s="1">
        <f t="shared" si="23"/>
        <v>-1.5418098985777748</v>
      </c>
      <c r="H130" s="1">
        <f t="shared" si="24"/>
        <v>-0.62904388955508739</v>
      </c>
      <c r="I130" s="1">
        <f t="shared" si="25"/>
        <v>0.33882530554571438</v>
      </c>
      <c r="J130" s="1">
        <f t="shared" si="26"/>
        <v>-0.25476277526981039</v>
      </c>
      <c r="K130" s="1">
        <f t="shared" si="27"/>
        <v>0.13722424874601433</v>
      </c>
      <c r="L130" s="1">
        <f t="shared" si="28"/>
        <v>0.16025696706957016</v>
      </c>
    </row>
    <row r="131" spans="1:12" x14ac:dyDescent="0.3">
      <c r="A131" s="1">
        <v>4.2660669999999996</v>
      </c>
      <c r="B131" s="1">
        <v>0.4157575</v>
      </c>
      <c r="C131" s="1">
        <v>-89.541049999999998</v>
      </c>
      <c r="D131" s="1">
        <v>-34.74344</v>
      </c>
      <c r="E131" s="1">
        <v>57.231650000000002</v>
      </c>
      <c r="G131" s="1">
        <f t="shared" si="23"/>
        <v>-1.5627861381928685</v>
      </c>
      <c r="H131" s="1">
        <f t="shared" si="24"/>
        <v>-0.60638742146909863</v>
      </c>
      <c r="I131" s="1">
        <f t="shared" si="25"/>
        <v>0.99888072884901269</v>
      </c>
      <c r="J131" s="1">
        <f t="shared" si="26"/>
        <v>-0.24558690569498495</v>
      </c>
      <c r="K131" s="1">
        <f t="shared" si="27"/>
        <v>0.40454669518385017</v>
      </c>
      <c r="L131" s="1">
        <f t="shared" si="28"/>
        <v>0.14892081049095662</v>
      </c>
    </row>
    <row r="132" spans="1:12" x14ac:dyDescent="0.3">
      <c r="A132" s="1">
        <v>4.2994000000000003</v>
      </c>
      <c r="B132" s="1">
        <v>0.37894460000000002</v>
      </c>
      <c r="C132" s="1">
        <v>-90.655429999999996</v>
      </c>
      <c r="D132" s="1">
        <v>-32.041580000000003</v>
      </c>
      <c r="E132" s="1">
        <v>84.705179999999999</v>
      </c>
      <c r="G132" s="1">
        <f t="shared" ref="G132:G195" si="46">C132 * PI() / 180</f>
        <v>-1.5822357383112429</v>
      </c>
      <c r="H132" s="1">
        <f t="shared" ref="H132:H195" si="47">D132 * PI() / 180</f>
        <v>-0.55923106854116478</v>
      </c>
      <c r="I132" s="1">
        <f t="shared" ref="I132:I195" si="48">E132 * PI() / 180</f>
        <v>1.4783842844944506</v>
      </c>
      <c r="J132" s="1">
        <f t="shared" ref="J132:J195" si="49">(0.405*H132)</f>
        <v>-0.22648858275917175</v>
      </c>
      <c r="K132" s="1">
        <f t="shared" ref="K132:K195" si="50">(0.405*I132)</f>
        <v>0.59874563522025248</v>
      </c>
      <c r="L132" s="1">
        <f t="shared" ref="L132:L195" si="51">(0.405*(H132^2))</f>
        <v>0.12665945214878566</v>
      </c>
    </row>
    <row r="133" spans="1:12" x14ac:dyDescent="0.3">
      <c r="A133" s="1">
        <v>4.3327330000000002</v>
      </c>
      <c r="B133" s="1">
        <v>0.34410429999999997</v>
      </c>
      <c r="C133" s="1">
        <v>-91.677149999999997</v>
      </c>
      <c r="D133" s="1">
        <v>-29.11307</v>
      </c>
      <c r="E133" s="1">
        <v>87.61009</v>
      </c>
      <c r="G133" s="1">
        <f t="shared" si="46"/>
        <v>-1.6000681163447195</v>
      </c>
      <c r="H133" s="1">
        <f t="shared" si="47"/>
        <v>-0.50811892686358562</v>
      </c>
      <c r="I133" s="1">
        <f t="shared" si="48"/>
        <v>1.5290845284685588</v>
      </c>
      <c r="J133" s="1">
        <f t="shared" si="49"/>
        <v>-0.2057881653797522</v>
      </c>
      <c r="K133" s="1">
        <f t="shared" si="50"/>
        <v>0.61927923402976637</v>
      </c>
      <c r="L133" s="1">
        <f t="shared" si="51"/>
        <v>0.10456486175398576</v>
      </c>
    </row>
    <row r="134" spans="1:12" x14ac:dyDescent="0.3">
      <c r="A134" s="1">
        <v>4.3660560000000004</v>
      </c>
      <c r="B134" s="1">
        <v>0.3092975</v>
      </c>
      <c r="C134" s="1">
        <v>-92.595969999999994</v>
      </c>
      <c r="D134" s="1">
        <v>-26.169650000000001</v>
      </c>
      <c r="E134" s="1">
        <v>99.668869999999998</v>
      </c>
      <c r="G134" s="1">
        <f t="shared" si="46"/>
        <v>-1.6161045505778935</v>
      </c>
      <c r="H134" s="1">
        <f t="shared" si="47"/>
        <v>-0.45674655659453406</v>
      </c>
      <c r="I134" s="1">
        <f t="shared" si="48"/>
        <v>1.7395499432422008</v>
      </c>
      <c r="J134" s="1">
        <f t="shared" si="49"/>
        <v>-0.18498235542078631</v>
      </c>
      <c r="K134" s="1">
        <f t="shared" si="50"/>
        <v>0.70451772701309134</v>
      </c>
      <c r="L134" s="1">
        <f t="shared" si="51"/>
        <v>8.4490053869190382E-2</v>
      </c>
    </row>
    <row r="135" spans="1:12" x14ac:dyDescent="0.3">
      <c r="A135" s="1">
        <v>4.3993779999999996</v>
      </c>
      <c r="B135" s="1">
        <v>0.26705839999999997</v>
      </c>
      <c r="C135" s="1">
        <v>-93.421210000000002</v>
      </c>
      <c r="D135" s="1">
        <v>-22.598030000000001</v>
      </c>
      <c r="E135" s="1">
        <v>125.31699999999999</v>
      </c>
      <c r="G135" s="1">
        <f t="shared" si="46"/>
        <v>-1.6305077056970521</v>
      </c>
      <c r="H135" s="1">
        <f t="shared" si="47"/>
        <v>-0.39441002796445424</v>
      </c>
      <c r="I135" s="1">
        <f t="shared" si="48"/>
        <v>2.1871942587217337</v>
      </c>
      <c r="J135" s="1">
        <f t="shared" si="49"/>
        <v>-0.15973606132560397</v>
      </c>
      <c r="K135" s="1">
        <f t="shared" si="50"/>
        <v>0.88581367478230222</v>
      </c>
      <c r="L135" s="1">
        <f t="shared" si="51"/>
        <v>6.3001504414363238E-2</v>
      </c>
    </row>
    <row r="136" spans="1:12" x14ac:dyDescent="0.3">
      <c r="A136" s="1">
        <v>4.4327110000000003</v>
      </c>
      <c r="B136" s="1">
        <v>0.21001420000000001</v>
      </c>
      <c r="C136" s="1">
        <v>-94.102260000000001</v>
      </c>
      <c r="D136" s="1">
        <v>-17.771750000000001</v>
      </c>
      <c r="E136" s="1">
        <v>185.16120000000001</v>
      </c>
      <c r="G136" s="1">
        <f t="shared" si="46"/>
        <v>-1.6423942705677592</v>
      </c>
      <c r="H136" s="1">
        <f t="shared" si="47"/>
        <v>-0.31017555134130226</v>
      </c>
      <c r="I136" s="1">
        <f t="shared" si="48"/>
        <v>3.2316725869437244</v>
      </c>
      <c r="J136" s="1">
        <f t="shared" si="49"/>
        <v>-0.12562109829322743</v>
      </c>
      <c r="K136" s="1">
        <f t="shared" si="50"/>
        <v>1.3088273977122085</v>
      </c>
      <c r="L136" s="1">
        <f t="shared" si="51"/>
        <v>3.8964593423201736E-2</v>
      </c>
    </row>
    <row r="137" spans="1:12" x14ac:dyDescent="0.3">
      <c r="A137" s="1">
        <v>4.4660440000000001</v>
      </c>
      <c r="B137" s="1">
        <v>0.1237388</v>
      </c>
      <c r="C137" s="1">
        <v>-94.605999999999995</v>
      </c>
      <c r="D137" s="1">
        <v>-10.468730000000001</v>
      </c>
      <c r="E137" s="1">
        <v>197.14940000000001</v>
      </c>
      <c r="G137" s="1">
        <f t="shared" si="46"/>
        <v>-1.6511861921417552</v>
      </c>
      <c r="H137" s="1">
        <f t="shared" si="47"/>
        <v>-0.18271380700230599</v>
      </c>
      <c r="I137" s="1">
        <f t="shared" si="48"/>
        <v>3.440906148331309</v>
      </c>
      <c r="J137" s="1">
        <f t="shared" si="49"/>
        <v>-7.3999091835933936E-2</v>
      </c>
      <c r="K137" s="1">
        <f t="shared" si="50"/>
        <v>1.3935669900741803</v>
      </c>
      <c r="L137" s="1">
        <f t="shared" si="51"/>
        <v>1.352065578405675E-2</v>
      </c>
    </row>
    <row r="138" spans="1:12" x14ac:dyDescent="0.3">
      <c r="A138" s="1">
        <v>4.4993670000000003</v>
      </c>
      <c r="B138" s="1">
        <v>4.659634E-2</v>
      </c>
      <c r="C138" s="1">
        <v>-94.800060000000002</v>
      </c>
      <c r="D138" s="1">
        <v>-3.943641</v>
      </c>
      <c r="E138" s="1">
        <v>154.80539999999999</v>
      </c>
      <c r="G138" s="1">
        <f t="shared" si="46"/>
        <v>-1.6545731780881756</v>
      </c>
      <c r="H138" s="1">
        <f t="shared" si="47"/>
        <v>-6.8829519966641689E-2</v>
      </c>
      <c r="I138" s="1">
        <f t="shared" si="48"/>
        <v>2.7018639298668297</v>
      </c>
      <c r="J138" s="1">
        <f t="shared" si="49"/>
        <v>-2.7875955586489885E-2</v>
      </c>
      <c r="K138" s="1">
        <f t="shared" si="50"/>
        <v>1.0942548915960661</v>
      </c>
      <c r="L138" s="1">
        <f t="shared" si="51"/>
        <v>1.9186886416295227E-3</v>
      </c>
    </row>
    <row r="139" spans="1:12" x14ac:dyDescent="0.3">
      <c r="A139" s="1">
        <v>4.5327330000000003</v>
      </c>
      <c r="B139" s="1">
        <v>5.9849480000000004E-3</v>
      </c>
      <c r="C139" s="1">
        <v>-94.868989999999997</v>
      </c>
      <c r="D139" s="1">
        <v>-0.49973980000000001</v>
      </c>
      <c r="E139" s="1">
        <v>61.954700000000003</v>
      </c>
      <c r="G139" s="1">
        <f t="shared" si="46"/>
        <v>-1.6557762335415753</v>
      </c>
      <c r="H139" s="1">
        <f t="shared" si="47"/>
        <v>-8.7221049132579585E-3</v>
      </c>
      <c r="I139" s="1">
        <f t="shared" si="48"/>
        <v>1.0813135020853308</v>
      </c>
      <c r="J139" s="1">
        <f t="shared" si="49"/>
        <v>-3.5324524898694733E-3</v>
      </c>
      <c r="K139" s="1">
        <f t="shared" si="50"/>
        <v>0.437931968344559</v>
      </c>
      <c r="L139" s="1">
        <f t="shared" si="51"/>
        <v>3.081042121774084E-5</v>
      </c>
    </row>
    <row r="140" spans="1:12" x14ac:dyDescent="0.3">
      <c r="A140" s="1">
        <v>4.566033</v>
      </c>
      <c r="B140" s="1">
        <v>5.5504730000000002E-3</v>
      </c>
      <c r="C140" s="1">
        <v>-94.833370000000002</v>
      </c>
      <c r="D140" s="1">
        <v>0.45286199999999999</v>
      </c>
      <c r="E140" s="1">
        <v>96.298869999999994</v>
      </c>
      <c r="G140" s="1">
        <f t="shared" si="46"/>
        <v>-1.6551545472620148</v>
      </c>
      <c r="H140" s="1">
        <f t="shared" si="47"/>
        <v>7.9039329571665602E-3</v>
      </c>
      <c r="I140" s="1">
        <f t="shared" si="48"/>
        <v>1.6807323474499918</v>
      </c>
      <c r="J140" s="1">
        <f t="shared" si="49"/>
        <v>3.2010928476524569E-3</v>
      </c>
      <c r="K140" s="1">
        <f t="shared" si="50"/>
        <v>0.68069660071724669</v>
      </c>
      <c r="L140" s="1">
        <f t="shared" si="51"/>
        <v>2.530122325751041E-5</v>
      </c>
    </row>
    <row r="141" spans="1:12" x14ac:dyDescent="0.3">
      <c r="A141" s="1">
        <v>4.599367</v>
      </c>
      <c r="B141" s="1">
        <v>5.7058949999999997E-2</v>
      </c>
      <c r="C141" s="1">
        <v>-94.838819999999998</v>
      </c>
      <c r="D141" s="1">
        <v>4.8094440000000001</v>
      </c>
      <c r="E141" s="1">
        <v>257.36259999999999</v>
      </c>
      <c r="G141" s="1">
        <f t="shared" si="46"/>
        <v>-1.6552496677062487</v>
      </c>
      <c r="H141" s="1">
        <f t="shared" si="47"/>
        <v>8.394063299028616E-2</v>
      </c>
      <c r="I141" s="1">
        <f t="shared" si="48"/>
        <v>4.4918247414931578</v>
      </c>
      <c r="J141" s="1">
        <f t="shared" si="49"/>
        <v>3.39959563610659E-2</v>
      </c>
      <c r="K141" s="1">
        <f t="shared" si="50"/>
        <v>1.819189020304729</v>
      </c>
      <c r="L141" s="1">
        <f t="shared" si="51"/>
        <v>2.8536420960580166E-3</v>
      </c>
    </row>
    <row r="142" spans="1:12" x14ac:dyDescent="0.3">
      <c r="A142" s="1">
        <v>4.6326780000000003</v>
      </c>
      <c r="B142" s="1">
        <v>0.21198710000000001</v>
      </c>
      <c r="C142" s="1">
        <v>-94.51285</v>
      </c>
      <c r="D142" s="1">
        <v>17.944510000000001</v>
      </c>
      <c r="E142" s="1">
        <v>272.08269999999999</v>
      </c>
      <c r="G142" s="1">
        <f t="shared" si="46"/>
        <v>-1.6495604179435226</v>
      </c>
      <c r="H142" s="1">
        <f t="shared" si="47"/>
        <v>0.31319078215704771</v>
      </c>
      <c r="I142" s="1">
        <f t="shared" si="48"/>
        <v>4.7487389527159758</v>
      </c>
      <c r="J142" s="1">
        <f t="shared" si="49"/>
        <v>0.12684226677360433</v>
      </c>
      <c r="K142" s="1">
        <f t="shared" si="50"/>
        <v>1.9232392758499703</v>
      </c>
      <c r="L142" s="1">
        <f t="shared" si="51"/>
        <v>3.9725828741398045E-2</v>
      </c>
    </row>
    <row r="143" spans="1:12" x14ac:dyDescent="0.3">
      <c r="A143" s="1">
        <v>4.6660110000000001</v>
      </c>
      <c r="B143" s="1">
        <v>0.29236630000000002</v>
      </c>
      <c r="C143" s="1">
        <v>-93.642920000000004</v>
      </c>
      <c r="D143" s="1">
        <v>24.752320000000001</v>
      </c>
      <c r="E143" s="1">
        <v>133.55860000000001</v>
      </c>
      <c r="G143" s="1">
        <f t="shared" si="46"/>
        <v>-1.6343772751816485</v>
      </c>
      <c r="H143" s="1">
        <f t="shared" si="47"/>
        <v>0.43200948150724283</v>
      </c>
      <c r="I143" s="1">
        <f t="shared" si="48"/>
        <v>2.3310373143540986</v>
      </c>
      <c r="J143" s="1">
        <f t="shared" si="49"/>
        <v>0.17496384001043336</v>
      </c>
      <c r="K143" s="1">
        <f t="shared" si="50"/>
        <v>0.94407011231340998</v>
      </c>
      <c r="L143" s="1">
        <f t="shared" si="51"/>
        <v>7.55860378054235E-2</v>
      </c>
    </row>
    <row r="144" spans="1:12" x14ac:dyDescent="0.3">
      <c r="A144" s="1">
        <v>4.6993559999999999</v>
      </c>
      <c r="B144" s="1">
        <v>0.29591109999999998</v>
      </c>
      <c r="C144" s="1">
        <v>-92.86242</v>
      </c>
      <c r="D144" s="1">
        <v>25.047419999999999</v>
      </c>
      <c r="E144" s="1">
        <v>44.774880000000003</v>
      </c>
      <c r="G144" s="1">
        <f t="shared" si="46"/>
        <v>-1.6207549803698327</v>
      </c>
      <c r="H144" s="1">
        <f t="shared" si="47"/>
        <v>0.43715994812987807</v>
      </c>
      <c r="I144" s="1">
        <f t="shared" si="48"/>
        <v>0.78146907818535871</v>
      </c>
      <c r="J144" s="1">
        <f t="shared" si="49"/>
        <v>0.17704977899260063</v>
      </c>
      <c r="K144" s="1">
        <f t="shared" si="50"/>
        <v>0.31649497666507032</v>
      </c>
      <c r="L144" s="1">
        <f t="shared" si="51"/>
        <v>7.7399072200811658E-2</v>
      </c>
    </row>
    <row r="145" spans="1:12" x14ac:dyDescent="0.3">
      <c r="A145" s="1">
        <v>4.7327110000000001</v>
      </c>
      <c r="B145" s="1">
        <v>0.33311180000000001</v>
      </c>
      <c r="C145" s="1">
        <v>-91.972250000000003</v>
      </c>
      <c r="D145" s="1">
        <v>28.199829999999999</v>
      </c>
      <c r="E145" s="1">
        <v>-581.09799999999996</v>
      </c>
      <c r="G145" s="1">
        <f t="shared" si="46"/>
        <v>-1.6052185829673549</v>
      </c>
      <c r="H145" s="1">
        <f t="shared" si="47"/>
        <v>0.49217988200267254</v>
      </c>
      <c r="I145" s="1">
        <f t="shared" si="48"/>
        <v>-10.142073376754007</v>
      </c>
      <c r="J145" s="1">
        <f t="shared" si="49"/>
        <v>0.19933285221108241</v>
      </c>
      <c r="K145" s="1">
        <f t="shared" si="50"/>
        <v>-4.1075397175853734</v>
      </c>
      <c r="L145" s="1">
        <f t="shared" si="51"/>
        <v>9.81076196805067E-2</v>
      </c>
    </row>
    <row r="146" spans="1:12" x14ac:dyDescent="0.3">
      <c r="A146" s="1">
        <v>4.766</v>
      </c>
      <c r="B146" s="1">
        <v>9.9163840000000003E-2</v>
      </c>
      <c r="C146" s="1">
        <v>-90.983059999999995</v>
      </c>
      <c r="D146" s="1">
        <v>-8.0944929999999999</v>
      </c>
      <c r="E146" s="1">
        <v>-269.84410000000003</v>
      </c>
      <c r="G146" s="1">
        <f t="shared" si="46"/>
        <v>-1.5879539605395521</v>
      </c>
      <c r="H146" s="1">
        <f t="shared" si="47"/>
        <v>-0.14127555412963336</v>
      </c>
      <c r="I146" s="1">
        <f t="shared" si="48"/>
        <v>-4.7096680120808312</v>
      </c>
      <c r="J146" s="1">
        <f t="shared" si="49"/>
        <v>-5.7216599422501513E-2</v>
      </c>
      <c r="K146" s="1">
        <f t="shared" si="50"/>
        <v>-1.9074155448927368</v>
      </c>
      <c r="L146" s="1">
        <f t="shared" si="51"/>
        <v>8.0833067888271617E-3</v>
      </c>
    </row>
    <row r="147" spans="1:12" x14ac:dyDescent="0.3">
      <c r="A147" s="1">
        <v>4.7993329999999998</v>
      </c>
      <c r="B147" s="1">
        <v>7.94956E-2</v>
      </c>
      <c r="C147" s="1">
        <v>-92.511529999999993</v>
      </c>
      <c r="D147" s="1">
        <v>-6.4261290000000004</v>
      </c>
      <c r="E147" s="1">
        <v>379.41609999999997</v>
      </c>
      <c r="G147" s="1">
        <f t="shared" si="46"/>
        <v>-1.6146307945575096</v>
      </c>
      <c r="H147" s="1">
        <f t="shared" si="47"/>
        <v>-0.1121571092078907</v>
      </c>
      <c r="I147" s="1">
        <f t="shared" si="48"/>
        <v>6.6220601800760566</v>
      </c>
      <c r="J147" s="1">
        <f t="shared" si="49"/>
        <v>-4.5423629229195732E-2</v>
      </c>
      <c r="K147" s="1">
        <f t="shared" si="50"/>
        <v>2.6819343729308032</v>
      </c>
      <c r="L147" s="1">
        <f t="shared" si="51"/>
        <v>5.0945829440776419E-3</v>
      </c>
    </row>
    <row r="148" spans="1:12" x14ac:dyDescent="0.3">
      <c r="A148" s="1">
        <v>4.8326560000000001</v>
      </c>
      <c r="B148" s="1">
        <v>0.39758769999999999</v>
      </c>
      <c r="C148" s="1">
        <v>-91.4114</v>
      </c>
      <c r="D148" s="1">
        <v>33.745170000000002</v>
      </c>
      <c r="E148" s="1">
        <v>702.64080000000001</v>
      </c>
      <c r="G148" s="1">
        <f t="shared" si="46"/>
        <v>-1.5954299038575446</v>
      </c>
      <c r="H148" s="1">
        <f t="shared" si="47"/>
        <v>0.58896432314521496</v>
      </c>
      <c r="I148" s="1">
        <f t="shared" si="48"/>
        <v>12.263395418846974</v>
      </c>
      <c r="J148" s="1">
        <f t="shared" si="49"/>
        <v>0.23853055087381209</v>
      </c>
      <c r="K148" s="1">
        <f t="shared" si="50"/>
        <v>4.9666751446330251</v>
      </c>
      <c r="L148" s="1">
        <f t="shared" si="51"/>
        <v>0.14048598444485</v>
      </c>
    </row>
    <row r="149" spans="1:12" x14ac:dyDescent="0.3">
      <c r="A149" s="1">
        <v>4.8659889999999999</v>
      </c>
      <c r="B149" s="1">
        <v>0.41148000000000001</v>
      </c>
      <c r="C149" s="1">
        <v>-90.262219999999999</v>
      </c>
      <c r="D149" s="1">
        <v>34.924329999999998</v>
      </c>
      <c r="E149" s="1">
        <v>25.57235</v>
      </c>
      <c r="G149" s="1">
        <f t="shared" si="46"/>
        <v>-1.575372929159476</v>
      </c>
      <c r="H149" s="1">
        <f t="shared" si="47"/>
        <v>0.60954454755303122</v>
      </c>
      <c r="I149" s="1">
        <f t="shared" si="48"/>
        <v>0.44632170497237195</v>
      </c>
      <c r="J149" s="1">
        <f t="shared" si="49"/>
        <v>0.24686554175897765</v>
      </c>
      <c r="K149" s="1">
        <f t="shared" si="50"/>
        <v>0.18076029051381065</v>
      </c>
      <c r="L149" s="1">
        <f t="shared" si="51"/>
        <v>0.15047554495790999</v>
      </c>
    </row>
    <row r="150" spans="1:12" x14ac:dyDescent="0.3">
      <c r="A150" s="1">
        <v>4.8993330000000004</v>
      </c>
      <c r="B150" s="1">
        <v>0.41746800000000001</v>
      </c>
      <c r="C150" s="1">
        <v>-89.082719999999995</v>
      </c>
      <c r="D150" s="1">
        <v>35.441519999999997</v>
      </c>
      <c r="E150" s="1">
        <v>-13.984629999999999</v>
      </c>
      <c r="G150" s="1">
        <f t="shared" si="46"/>
        <v>-1.5547867706322029</v>
      </c>
      <c r="H150" s="1">
        <f t="shared" si="47"/>
        <v>0.61857121591142061</v>
      </c>
      <c r="I150" s="1">
        <f t="shared" si="48"/>
        <v>-0.24407783817317458</v>
      </c>
      <c r="J150" s="1">
        <f t="shared" si="49"/>
        <v>0.25052134244412538</v>
      </c>
      <c r="K150" s="1">
        <f t="shared" si="50"/>
        <v>-9.8851524460135703E-2</v>
      </c>
      <c r="L150" s="1">
        <f t="shared" si="51"/>
        <v>0.15496529140742402</v>
      </c>
    </row>
    <row r="151" spans="1:12" x14ac:dyDescent="0.3">
      <c r="A151" s="1">
        <v>4.9326889999999999</v>
      </c>
      <c r="B151" s="1">
        <v>0.40240920000000002</v>
      </c>
      <c r="C151" s="1">
        <v>-87.898269999999997</v>
      </c>
      <c r="D151" s="1">
        <v>34.168810000000001</v>
      </c>
      <c r="E151" s="1">
        <v>-51.05556</v>
      </c>
      <c r="G151" s="1">
        <f t="shared" si="46"/>
        <v>-1.534114218306956</v>
      </c>
      <c r="H151" s="1">
        <f t="shared" si="47"/>
        <v>0.59635823598836368</v>
      </c>
      <c r="I151" s="1">
        <f t="shared" si="48"/>
        <v>-0.89108762344951609</v>
      </c>
      <c r="J151" s="1">
        <f t="shared" si="49"/>
        <v>0.24152508557528732</v>
      </c>
      <c r="K151" s="1">
        <f t="shared" si="50"/>
        <v>-0.36089048749705405</v>
      </c>
      <c r="L151" s="1">
        <f t="shared" si="51"/>
        <v>0.14403547398061692</v>
      </c>
    </row>
    <row r="152" spans="1:12" x14ac:dyDescent="0.3">
      <c r="A152" s="1">
        <v>4.965967</v>
      </c>
      <c r="B152" s="1">
        <v>0.3747238</v>
      </c>
      <c r="C152" s="1">
        <v>-86.805940000000007</v>
      </c>
      <c r="D152" s="1">
        <v>31.817679999999999</v>
      </c>
      <c r="E152" s="1">
        <v>-73.71781</v>
      </c>
      <c r="G152" s="1">
        <f t="shared" si="46"/>
        <v>-1.5150494632886464</v>
      </c>
      <c r="H152" s="1">
        <f t="shared" si="47"/>
        <v>0.55532327634594936</v>
      </c>
      <c r="I152" s="1">
        <f t="shared" si="48"/>
        <v>-1.286618501859601</v>
      </c>
      <c r="J152" s="1">
        <f t="shared" si="49"/>
        <v>0.22490592692010949</v>
      </c>
      <c r="K152" s="1">
        <f t="shared" si="50"/>
        <v>-0.52108049325313843</v>
      </c>
      <c r="L152" s="1">
        <f t="shared" si="51"/>
        <v>0.12489549620689785</v>
      </c>
    </row>
    <row r="153" spans="1:12" x14ac:dyDescent="0.3">
      <c r="A153" s="1">
        <v>4.9992999999999999</v>
      </c>
      <c r="B153" s="1">
        <v>0.34582200000000002</v>
      </c>
      <c r="C153" s="1">
        <v>-85.778859999999995</v>
      </c>
      <c r="D153" s="1">
        <v>29.36421</v>
      </c>
      <c r="E153" s="1">
        <v>-90.430490000000006</v>
      </c>
      <c r="G153" s="1">
        <f t="shared" si="46"/>
        <v>-1.497123535607263</v>
      </c>
      <c r="H153" s="1">
        <f t="shared" si="47"/>
        <v>0.51250214674704409</v>
      </c>
      <c r="I153" s="1">
        <f t="shared" si="48"/>
        <v>-1.578309794691807</v>
      </c>
      <c r="J153" s="1">
        <f t="shared" si="49"/>
        <v>0.20756336943255288</v>
      </c>
      <c r="K153" s="1">
        <f t="shared" si="50"/>
        <v>-0.63921546685018182</v>
      </c>
      <c r="L153" s="1">
        <f t="shared" si="51"/>
        <v>0.10637667242023313</v>
      </c>
    </row>
    <row r="154" spans="1:12" x14ac:dyDescent="0.3">
      <c r="A154" s="1">
        <v>5.0326329999999997</v>
      </c>
      <c r="B154" s="1">
        <v>0.30377110000000002</v>
      </c>
      <c r="C154" s="1">
        <v>-84.848320000000001</v>
      </c>
      <c r="D154" s="1">
        <v>25.796420000000001</v>
      </c>
      <c r="E154" s="1">
        <v>-129.02000000000001</v>
      </c>
      <c r="G154" s="1">
        <f t="shared" si="46"/>
        <v>-1.4808825487857551</v>
      </c>
      <c r="H154" s="1">
        <f t="shared" si="47"/>
        <v>0.45023246422731567</v>
      </c>
      <c r="I154" s="1">
        <f t="shared" si="48"/>
        <v>-2.2518238009230842</v>
      </c>
      <c r="J154" s="1">
        <f t="shared" si="49"/>
        <v>0.18234414801206286</v>
      </c>
      <c r="K154" s="1">
        <f t="shared" si="50"/>
        <v>-0.91198863937384922</v>
      </c>
      <c r="L154" s="1">
        <f t="shared" si="51"/>
        <v>8.2097255096901439E-2</v>
      </c>
    </row>
    <row r="155" spans="1:12" x14ac:dyDescent="0.3">
      <c r="A155" s="1">
        <v>5.0659669999999997</v>
      </c>
      <c r="B155" s="1">
        <v>0.2446759</v>
      </c>
      <c r="C155" s="1">
        <v>-84.059100000000001</v>
      </c>
      <c r="D155" s="1">
        <v>20.778179999999999</v>
      </c>
      <c r="E155" s="1">
        <v>-154.33459999999999</v>
      </c>
      <c r="G155" s="1">
        <f t="shared" si="46"/>
        <v>-1.4671080612631653</v>
      </c>
      <c r="H155" s="1">
        <f t="shared" si="47"/>
        <v>0.36264765357203532</v>
      </c>
      <c r="I155" s="1">
        <f t="shared" si="48"/>
        <v>-2.6936469197484403</v>
      </c>
      <c r="J155" s="1">
        <f t="shared" si="49"/>
        <v>0.14687229969667431</v>
      </c>
      <c r="K155" s="1">
        <f t="shared" si="50"/>
        <v>-1.0909270024981184</v>
      </c>
      <c r="L155" s="1">
        <f t="shared" si="51"/>
        <v>5.3262894859727697E-2</v>
      </c>
    </row>
    <row r="156" spans="1:12" x14ac:dyDescent="0.3">
      <c r="A156" s="1">
        <v>5.0993000000000004</v>
      </c>
      <c r="B156" s="1">
        <v>0.18072940000000001</v>
      </c>
      <c r="C156" s="1">
        <v>-83.46311</v>
      </c>
      <c r="D156" s="1">
        <v>15.348380000000001</v>
      </c>
      <c r="E156" s="1">
        <v>-148.25790000000001</v>
      </c>
      <c r="G156" s="1">
        <f t="shared" si="46"/>
        <v>-1.4567060734542043</v>
      </c>
      <c r="H156" s="1">
        <f t="shared" si="47"/>
        <v>0.26787976584724726</v>
      </c>
      <c r="I156" s="1">
        <f t="shared" si="48"/>
        <v>-2.5875884970925012</v>
      </c>
      <c r="J156" s="1">
        <f t="shared" si="49"/>
        <v>0.10849130516813515</v>
      </c>
      <c r="K156" s="1">
        <f t="shared" si="50"/>
        <v>-1.047973341322463</v>
      </c>
      <c r="L156" s="1">
        <f t="shared" si="51"/>
        <v>2.9062625424902292E-2</v>
      </c>
    </row>
    <row r="157" spans="1:12" x14ac:dyDescent="0.3">
      <c r="A157" s="1">
        <v>5.1326219999999996</v>
      </c>
      <c r="B157" s="1">
        <v>0.12790460000000001</v>
      </c>
      <c r="C157" s="1">
        <v>-83.036050000000003</v>
      </c>
      <c r="D157" s="1">
        <v>10.86613</v>
      </c>
      <c r="E157" s="1">
        <v>-150.6199</v>
      </c>
      <c r="G157" s="1">
        <f t="shared" si="46"/>
        <v>-1.4492524703506375</v>
      </c>
      <c r="H157" s="1">
        <f t="shared" si="47"/>
        <v>0.18964974544973145</v>
      </c>
      <c r="I157" s="1">
        <f t="shared" si="48"/>
        <v>-2.6288131740246072</v>
      </c>
      <c r="J157" s="1">
        <f t="shared" si="49"/>
        <v>7.6808146907141245E-2</v>
      </c>
      <c r="K157" s="1">
        <f t="shared" si="50"/>
        <v>-1.0646693354799659</v>
      </c>
      <c r="L157" s="1">
        <f t="shared" si="51"/>
        <v>1.4566645509404914E-2</v>
      </c>
    </row>
    <row r="158" spans="1:12" x14ac:dyDescent="0.3">
      <c r="A158" s="1">
        <v>5.1659560000000004</v>
      </c>
      <c r="B158" s="1">
        <v>6.5815180000000001E-2</v>
      </c>
      <c r="C158" s="1">
        <v>-82.738820000000004</v>
      </c>
      <c r="D158" s="1">
        <v>5.5920899999999998</v>
      </c>
      <c r="E158" s="1">
        <v>-141.2492</v>
      </c>
      <c r="G158" s="1">
        <f t="shared" si="46"/>
        <v>-1.4440648282149349</v>
      </c>
      <c r="H158" s="1">
        <f t="shared" si="47"/>
        <v>9.7600382567849697E-2</v>
      </c>
      <c r="I158" s="1">
        <f t="shared" si="48"/>
        <v>-2.4652636058079747</v>
      </c>
      <c r="J158" s="1">
        <f t="shared" si="49"/>
        <v>3.9528154939979132E-2</v>
      </c>
      <c r="K158" s="1">
        <f t="shared" si="50"/>
        <v>-0.9984317603522298</v>
      </c>
      <c r="L158" s="1">
        <f t="shared" si="51"/>
        <v>3.8579630443432013E-3</v>
      </c>
    </row>
    <row r="159" spans="1:12" x14ac:dyDescent="0.3">
      <c r="A159" s="1">
        <v>5.1992669999999999</v>
      </c>
      <c r="B159" s="1">
        <v>1.1459769999999999E-2</v>
      </c>
      <c r="C159" s="1">
        <v>-82.663359999999997</v>
      </c>
      <c r="D159" s="1">
        <v>0.96600350000000001</v>
      </c>
      <c r="E159" s="1">
        <v>-91.965130000000002</v>
      </c>
      <c r="G159" s="1">
        <f t="shared" si="46"/>
        <v>-1.4427478027613798</v>
      </c>
      <c r="H159" s="1">
        <f t="shared" si="47"/>
        <v>1.6859941660789041E-2</v>
      </c>
      <c r="I159" s="1">
        <f t="shared" si="48"/>
        <v>-1.6050943155246127</v>
      </c>
      <c r="J159" s="1">
        <f t="shared" si="49"/>
        <v>6.8282763726195623E-3</v>
      </c>
      <c r="K159" s="1">
        <f t="shared" si="50"/>
        <v>-0.65006319778746813</v>
      </c>
      <c r="L159" s="1">
        <f t="shared" si="51"/>
        <v>1.1512434128611003E-4</v>
      </c>
    </row>
    <row r="160" spans="1:12" x14ac:dyDescent="0.3">
      <c r="A160" s="1">
        <v>5.2325999999999997</v>
      </c>
      <c r="B160" s="1">
        <v>5.1218260000000003E-3</v>
      </c>
      <c r="C160" s="1">
        <v>-82.674449999999993</v>
      </c>
      <c r="D160" s="1">
        <v>-0.42167189999999999</v>
      </c>
      <c r="E160" s="1">
        <v>-192.29390000000001</v>
      </c>
      <c r="G160" s="1">
        <f t="shared" si="46"/>
        <v>-1.4429413597754259</v>
      </c>
      <c r="H160" s="1">
        <f t="shared" si="47"/>
        <v>-7.359563018140277E-3</v>
      </c>
      <c r="I160" s="1">
        <f t="shared" si="48"/>
        <v>-3.356161686500724</v>
      </c>
      <c r="J160" s="1">
        <f t="shared" si="49"/>
        <v>-2.9806230223468123E-3</v>
      </c>
      <c r="K160" s="1">
        <f t="shared" si="50"/>
        <v>-1.3592454830327934</v>
      </c>
      <c r="L160" s="1">
        <f t="shared" si="51"/>
        <v>2.1936082966281101E-5</v>
      </c>
    </row>
    <row r="161" spans="1:12" x14ac:dyDescent="0.3">
      <c r="A161" s="1">
        <v>5.2659330000000004</v>
      </c>
      <c r="B161" s="1">
        <v>0.1211179</v>
      </c>
      <c r="C161" s="1">
        <v>-82.691479999999999</v>
      </c>
      <c r="D161" s="1">
        <v>-10.29219</v>
      </c>
      <c r="E161" s="1">
        <v>-244.44200000000001</v>
      </c>
      <c r="G161" s="1">
        <f t="shared" si="46"/>
        <v>-1.4432385893470405</v>
      </c>
      <c r="H161" s="1">
        <f t="shared" si="47"/>
        <v>-0.17963260274083517</v>
      </c>
      <c r="I161" s="1">
        <f t="shared" si="48"/>
        <v>-4.2663177301599795</v>
      </c>
      <c r="J161" s="1">
        <f t="shared" si="49"/>
        <v>-7.2751204110038256E-2</v>
      </c>
      <c r="K161" s="1">
        <f t="shared" si="50"/>
        <v>-1.7278586807147918</v>
      </c>
      <c r="L161" s="1">
        <f t="shared" si="51"/>
        <v>1.3068488146815915E-2</v>
      </c>
    </row>
    <row r="162" spans="1:12" x14ac:dyDescent="0.3">
      <c r="A162" s="1">
        <v>5.2992559999999997</v>
      </c>
      <c r="B162" s="1">
        <v>0.2302893</v>
      </c>
      <c r="C162" s="1">
        <v>-83.360479999999995</v>
      </c>
      <c r="D162" s="1">
        <v>-19.57057</v>
      </c>
      <c r="E162" s="1">
        <v>-163.6506</v>
      </c>
      <c r="G162" s="1">
        <f t="shared" si="46"/>
        <v>-1.4549148420428824</v>
      </c>
      <c r="H162" s="1">
        <f t="shared" si="47"/>
        <v>-0.34157088299202665</v>
      </c>
      <c r="I162" s="1">
        <f t="shared" si="48"/>
        <v>-2.8562417928642319</v>
      </c>
      <c r="J162" s="1">
        <f t="shared" si="49"/>
        <v>-0.13833620761177079</v>
      </c>
      <c r="K162" s="1">
        <f t="shared" si="50"/>
        <v>-1.156777926110014</v>
      </c>
      <c r="L162" s="1">
        <f t="shared" si="51"/>
        <v>4.7251620583720871E-2</v>
      </c>
    </row>
    <row r="163" spans="1:12" x14ac:dyDescent="0.3">
      <c r="A163" s="1">
        <v>5.3326000000000002</v>
      </c>
      <c r="B163" s="1">
        <v>0.2304436</v>
      </c>
      <c r="C163" s="1">
        <v>-83.996179999999995</v>
      </c>
      <c r="D163" s="1">
        <v>-19.583760000000002</v>
      </c>
      <c r="E163" s="1">
        <v>-61.552610000000001</v>
      </c>
      <c r="G163" s="1">
        <f t="shared" si="46"/>
        <v>-1.4660099000978104</v>
      </c>
      <c r="H163" s="1">
        <f t="shared" si="47"/>
        <v>-0.34180109192036473</v>
      </c>
      <c r="I163" s="1">
        <f t="shared" si="48"/>
        <v>-1.0742957076959869</v>
      </c>
      <c r="J163" s="1">
        <f t="shared" si="49"/>
        <v>-0.13842944222774772</v>
      </c>
      <c r="K163" s="1">
        <f t="shared" si="50"/>
        <v>-0.43508976161687474</v>
      </c>
      <c r="L163" s="1">
        <f t="shared" si="51"/>
        <v>4.7315334507371222E-2</v>
      </c>
    </row>
    <row r="164" spans="1:12" x14ac:dyDescent="0.3">
      <c r="A164" s="1">
        <v>5.3659330000000001</v>
      </c>
      <c r="B164" s="1">
        <v>0.27556580000000003</v>
      </c>
      <c r="C164" s="1">
        <v>-84.66628</v>
      </c>
      <c r="D164" s="1">
        <v>-23.422409999999999</v>
      </c>
      <c r="E164" s="1">
        <v>-115.9884</v>
      </c>
      <c r="G164" s="1">
        <f t="shared" si="46"/>
        <v>-1.4777053514154246</v>
      </c>
      <c r="H164" s="1">
        <f t="shared" si="47"/>
        <v>-0.40879817325204504</v>
      </c>
      <c r="I164" s="1">
        <f t="shared" si="48"/>
        <v>-2.0243794741201908</v>
      </c>
      <c r="J164" s="1">
        <f t="shared" si="49"/>
        <v>-0.16556326016707826</v>
      </c>
      <c r="K164" s="1">
        <f t="shared" si="50"/>
        <v>-0.81987368701867736</v>
      </c>
      <c r="L164" s="1">
        <f t="shared" si="51"/>
        <v>6.7681958313954654E-2</v>
      </c>
    </row>
    <row r="165" spans="1:12" x14ac:dyDescent="0.3">
      <c r="A165" s="1">
        <v>5.3992560000000003</v>
      </c>
      <c r="B165" s="1">
        <v>0.32957259999999999</v>
      </c>
      <c r="C165" s="1">
        <v>-85.557410000000004</v>
      </c>
      <c r="D165" s="1">
        <v>-28.018999999999998</v>
      </c>
      <c r="E165" s="1">
        <v>-109.9736</v>
      </c>
      <c r="G165" s="1">
        <f t="shared" si="46"/>
        <v>-1.4932585039787218</v>
      </c>
      <c r="H165" s="1">
        <f t="shared" si="47"/>
        <v>-0.48902380311629118</v>
      </c>
      <c r="I165" s="1">
        <f t="shared" si="48"/>
        <v>-1.919401410271236</v>
      </c>
      <c r="J165" s="1">
        <f t="shared" si="49"/>
        <v>-0.19805464026209793</v>
      </c>
      <c r="K165" s="1">
        <f t="shared" si="50"/>
        <v>-0.7773575711598506</v>
      </c>
      <c r="L165" s="1">
        <f t="shared" si="51"/>
        <v>9.6853433405800063E-2</v>
      </c>
    </row>
    <row r="166" spans="1:12" x14ac:dyDescent="0.3">
      <c r="A166" s="1">
        <v>5.4325780000000004</v>
      </c>
      <c r="B166" s="1">
        <v>0.35842689999999999</v>
      </c>
      <c r="C166" s="1">
        <v>-86.533590000000004</v>
      </c>
      <c r="D166" s="1">
        <v>-30.47438</v>
      </c>
      <c r="E166" s="1">
        <v>-75.654809999999998</v>
      </c>
      <c r="G166" s="1">
        <f t="shared" si="46"/>
        <v>-1.5102960590708401</v>
      </c>
      <c r="H166" s="1">
        <f t="shared" si="47"/>
        <v>-0.53187826850390951</v>
      </c>
      <c r="I166" s="1">
        <f t="shared" si="48"/>
        <v>-1.3204255294707312</v>
      </c>
      <c r="J166" s="1">
        <f t="shared" si="49"/>
        <v>-0.21541069874408336</v>
      </c>
      <c r="K166" s="1">
        <f t="shared" si="50"/>
        <v>-0.53477233943564617</v>
      </c>
      <c r="L166" s="1">
        <f t="shared" si="51"/>
        <v>0.11457226946522035</v>
      </c>
    </row>
    <row r="167" spans="1:12" x14ac:dyDescent="0.3">
      <c r="A167" s="1">
        <v>5.4659110000000002</v>
      </c>
      <c r="B167" s="1">
        <v>0.38831729999999998</v>
      </c>
      <c r="C167" s="1">
        <v>-87.588700000000003</v>
      </c>
      <c r="D167" s="1">
        <v>-33.022939999999998</v>
      </c>
      <c r="E167" s="1">
        <v>-62.926940000000002</v>
      </c>
      <c r="G167" s="1">
        <f t="shared" si="46"/>
        <v>-1.5287112025415575</v>
      </c>
      <c r="H167" s="1">
        <f t="shared" si="47"/>
        <v>-0.57635903168853619</v>
      </c>
      <c r="I167" s="1">
        <f t="shared" si="48"/>
        <v>-1.0982822912049206</v>
      </c>
      <c r="J167" s="1">
        <f t="shared" si="49"/>
        <v>-0.23342540783385718</v>
      </c>
      <c r="K167" s="1">
        <f t="shared" si="50"/>
        <v>-0.44480432793799285</v>
      </c>
      <c r="L167" s="1">
        <f t="shared" si="51"/>
        <v>0.13453684203062358</v>
      </c>
    </row>
    <row r="168" spans="1:12" x14ac:dyDescent="0.3">
      <c r="A168" s="1">
        <v>5.4992219999999996</v>
      </c>
      <c r="B168" s="1">
        <v>0.409553</v>
      </c>
      <c r="C168" s="1">
        <v>-88.734390000000005</v>
      </c>
      <c r="D168" s="1">
        <v>-34.823920000000001</v>
      </c>
      <c r="E168" s="1">
        <v>-32.581139999999998</v>
      </c>
      <c r="G168" s="1">
        <f t="shared" si="46"/>
        <v>-1.5487072652487313</v>
      </c>
      <c r="H168" s="1">
        <f t="shared" si="47"/>
        <v>-0.60779206245110373</v>
      </c>
      <c r="I168" s="1">
        <f t="shared" si="48"/>
        <v>-0.5686481670532253</v>
      </c>
      <c r="J168" s="1">
        <f t="shared" si="49"/>
        <v>-0.24615578529269702</v>
      </c>
      <c r="K168" s="1">
        <f t="shared" si="50"/>
        <v>-0.23030250765655627</v>
      </c>
      <c r="L168" s="1">
        <f t="shared" si="51"/>
        <v>0.14961153242731939</v>
      </c>
    </row>
    <row r="169" spans="1:12" x14ac:dyDescent="0.3">
      <c r="A169" s="1">
        <v>5.5325670000000002</v>
      </c>
      <c r="B169" s="1">
        <v>0.41314650000000003</v>
      </c>
      <c r="C169" s="1">
        <v>-89.909909999999996</v>
      </c>
      <c r="D169" s="1">
        <v>-35.135649999999998</v>
      </c>
      <c r="E169" s="1">
        <v>-4.4845940000000004</v>
      </c>
      <c r="G169" s="1">
        <f t="shared" si="46"/>
        <v>-1.5692239596717747</v>
      </c>
      <c r="H169" s="1">
        <f t="shared" si="47"/>
        <v>-0.61323277732834558</v>
      </c>
      <c r="I169" s="1">
        <f t="shared" si="48"/>
        <v>-7.8270930915182585E-2</v>
      </c>
      <c r="J169" s="1">
        <f t="shared" si="49"/>
        <v>-0.24835927481797998</v>
      </c>
      <c r="K169" s="1">
        <f t="shared" si="50"/>
        <v>-3.1699727020648952E-2</v>
      </c>
      <c r="L169" s="1">
        <f t="shared" si="51"/>
        <v>0.1523020478718837</v>
      </c>
    </row>
    <row r="170" spans="1:12" x14ac:dyDescent="0.3">
      <c r="A170" s="1">
        <v>5.5658890000000003</v>
      </c>
      <c r="B170" s="1">
        <v>0.41182819999999998</v>
      </c>
      <c r="C170" s="1">
        <v>-91.076759999999993</v>
      </c>
      <c r="D170" s="1">
        <v>-35.026240000000001</v>
      </c>
      <c r="E170" s="1">
        <v>38.212040000000002</v>
      </c>
      <c r="G170" s="1">
        <f t="shared" si="46"/>
        <v>-1.5895893340486704</v>
      </c>
      <c r="H170" s="1">
        <f t="shared" si="47"/>
        <v>-0.61132321259373867</v>
      </c>
      <c r="I170" s="1">
        <f t="shared" si="48"/>
        <v>0.66692591190377404</v>
      </c>
      <c r="J170" s="1">
        <f t="shared" si="49"/>
        <v>-0.24758590110046419</v>
      </c>
      <c r="K170" s="1">
        <f t="shared" si="50"/>
        <v>0.27010499432102852</v>
      </c>
      <c r="L170" s="1">
        <f t="shared" si="51"/>
        <v>0.15135500845365141</v>
      </c>
    </row>
    <row r="171" spans="1:12" x14ac:dyDescent="0.3">
      <c r="A171" s="1">
        <v>5.5992110000000004</v>
      </c>
      <c r="B171" s="1">
        <v>0.38703409999999999</v>
      </c>
      <c r="C171" s="1">
        <v>-92.244209999999995</v>
      </c>
      <c r="D171" s="1">
        <v>-32.916960000000003</v>
      </c>
      <c r="E171" s="1">
        <v>63.685229999999997</v>
      </c>
      <c r="G171" s="1">
        <f t="shared" si="46"/>
        <v>-1.6099651804010784</v>
      </c>
      <c r="H171" s="1">
        <f t="shared" si="47"/>
        <v>-0.5745093317472727</v>
      </c>
      <c r="I171" s="1">
        <f t="shared" si="48"/>
        <v>1.1115169483898684</v>
      </c>
      <c r="J171" s="1">
        <f t="shared" si="49"/>
        <v>-0.23267627935764545</v>
      </c>
      <c r="K171" s="1">
        <f t="shared" si="50"/>
        <v>0.45016436409789673</v>
      </c>
      <c r="L171" s="1">
        <f t="shared" si="51"/>
        <v>0.13367469376720262</v>
      </c>
    </row>
    <row r="172" spans="1:12" x14ac:dyDescent="0.3">
      <c r="A172" s="1">
        <v>5.6325440000000002</v>
      </c>
      <c r="B172" s="1">
        <v>0.35557290000000003</v>
      </c>
      <c r="C172" s="1">
        <v>-93.270859999999999</v>
      </c>
      <c r="D172" s="1">
        <v>-30.244800000000001</v>
      </c>
      <c r="E172" s="1">
        <v>65.497420000000005</v>
      </c>
      <c r="G172" s="1">
        <f t="shared" si="46"/>
        <v>-1.6278836031666784</v>
      </c>
      <c r="H172" s="1">
        <f t="shared" si="47"/>
        <v>-0.52787134160718097</v>
      </c>
      <c r="I172" s="1">
        <f t="shared" si="48"/>
        <v>1.1431456305615846</v>
      </c>
      <c r="J172" s="1">
        <f t="shared" si="49"/>
        <v>-0.21378789335090831</v>
      </c>
      <c r="K172" s="1">
        <f t="shared" si="50"/>
        <v>0.46297398037744181</v>
      </c>
      <c r="L172" s="1">
        <f t="shared" si="51"/>
        <v>0.11285250208251688</v>
      </c>
    </row>
    <row r="173" spans="1:12" x14ac:dyDescent="0.3">
      <c r="A173" s="1">
        <v>5.6658780000000002</v>
      </c>
      <c r="B173" s="1">
        <v>0.3388022</v>
      </c>
      <c r="C173" s="1">
        <v>-94.260530000000003</v>
      </c>
      <c r="D173" s="1">
        <v>-28.819559999999999</v>
      </c>
      <c r="E173" s="1">
        <v>91.526660000000007</v>
      </c>
      <c r="G173" s="1">
        <f t="shared" si="46"/>
        <v>-1.6451566031748908</v>
      </c>
      <c r="H173" s="1">
        <f t="shared" si="47"/>
        <v>-0.50299621097605696</v>
      </c>
      <c r="I173" s="1">
        <f t="shared" si="48"/>
        <v>1.5974415703533933</v>
      </c>
      <c r="J173" s="1">
        <f t="shared" si="49"/>
        <v>-0.20371346544530308</v>
      </c>
      <c r="K173" s="1">
        <f t="shared" si="50"/>
        <v>0.64696383599312435</v>
      </c>
      <c r="L173" s="1">
        <f t="shared" si="51"/>
        <v>0.10246710124378935</v>
      </c>
    </row>
    <row r="174" spans="1:12" x14ac:dyDescent="0.3">
      <c r="A174" s="1">
        <v>5.6992000000000003</v>
      </c>
      <c r="B174" s="1">
        <v>0.28767809999999999</v>
      </c>
      <c r="C174" s="1">
        <v>-95.191839999999999</v>
      </c>
      <c r="D174" s="1">
        <v>-24.472999999999999</v>
      </c>
      <c r="E174" s="1">
        <v>144.6557</v>
      </c>
      <c r="G174" s="1">
        <f t="shared" si="46"/>
        <v>-1.6614110290316388</v>
      </c>
      <c r="H174" s="1">
        <f t="shared" si="47"/>
        <v>-0.42713442784057221</v>
      </c>
      <c r="I174" s="1">
        <f t="shared" si="48"/>
        <v>2.5247182467771614</v>
      </c>
      <c r="J174" s="1">
        <f t="shared" si="49"/>
        <v>-0.17298944327543175</v>
      </c>
      <c r="K174" s="1">
        <f t="shared" si="50"/>
        <v>1.0225108899447504</v>
      </c>
      <c r="L174" s="1">
        <f t="shared" si="51"/>
        <v>7.388974687591067E-2</v>
      </c>
    </row>
    <row r="175" spans="1:12" x14ac:dyDescent="0.3">
      <c r="A175" s="1">
        <v>5.7325330000000001</v>
      </c>
      <c r="B175" s="1">
        <v>0.21912480000000001</v>
      </c>
      <c r="C175" s="1">
        <v>-95.89179</v>
      </c>
      <c r="D175" s="1">
        <v>-18.642720000000001</v>
      </c>
      <c r="E175" s="1">
        <v>182.99709999999999</v>
      </c>
      <c r="G175" s="1">
        <f t="shared" si="46"/>
        <v>-1.6736274611309732</v>
      </c>
      <c r="H175" s="1">
        <f t="shared" si="47"/>
        <v>-0.32537684552739726</v>
      </c>
      <c r="I175" s="1">
        <f t="shared" si="48"/>
        <v>3.1939019166013147</v>
      </c>
      <c r="J175" s="1">
        <f t="shared" si="49"/>
        <v>-0.13177762243859589</v>
      </c>
      <c r="K175" s="1">
        <f t="shared" si="50"/>
        <v>1.2935302762235326</v>
      </c>
      <c r="L175" s="1">
        <f t="shared" si="51"/>
        <v>4.2877387100170694E-2</v>
      </c>
    </row>
    <row r="176" spans="1:12" x14ac:dyDescent="0.3">
      <c r="A176" s="1">
        <v>5.7658670000000001</v>
      </c>
      <c r="B176" s="1">
        <v>0.1482272</v>
      </c>
      <c r="C176" s="1">
        <v>-96.434690000000003</v>
      </c>
      <c r="D176" s="1">
        <v>-12.61408</v>
      </c>
      <c r="E176" s="1">
        <v>185.30889999999999</v>
      </c>
      <c r="G176" s="1">
        <f t="shared" si="46"/>
        <v>-1.6831028536400507</v>
      </c>
      <c r="H176" s="1">
        <f t="shared" si="47"/>
        <v>-0.2201572281099663</v>
      </c>
      <c r="I176" s="1">
        <f t="shared" si="48"/>
        <v>3.2342504382489197</v>
      </c>
      <c r="J176" s="1">
        <f t="shared" si="49"/>
        <v>-8.9163677384536358E-2</v>
      </c>
      <c r="K176" s="1">
        <f t="shared" si="50"/>
        <v>1.3098714274908125</v>
      </c>
      <c r="L176" s="1">
        <f t="shared" si="51"/>
        <v>1.9630028061070816E-2</v>
      </c>
    </row>
    <row r="177" spans="1:12" x14ac:dyDescent="0.3">
      <c r="A177" s="1">
        <v>5.7992109999999997</v>
      </c>
      <c r="B177" s="1">
        <v>7.0561780000000004E-2</v>
      </c>
      <c r="C177" s="1">
        <v>-96.732870000000005</v>
      </c>
      <c r="D177" s="1">
        <v>-6.0032719999999999</v>
      </c>
      <c r="E177" s="1">
        <v>156.7611</v>
      </c>
      <c r="G177" s="1">
        <f t="shared" si="46"/>
        <v>-1.6883070764036474</v>
      </c>
      <c r="H177" s="1">
        <f t="shared" si="47"/>
        <v>-0.10477686229278503</v>
      </c>
      <c r="I177" s="1">
        <f t="shared" si="48"/>
        <v>2.7359973340480832</v>
      </c>
      <c r="J177" s="1">
        <f t="shared" si="49"/>
        <v>-4.2434629228577943E-2</v>
      </c>
      <c r="K177" s="1">
        <f t="shared" si="50"/>
        <v>1.1080789202894739</v>
      </c>
      <c r="L177" s="1">
        <f t="shared" si="51"/>
        <v>4.4461673031281016E-3</v>
      </c>
    </row>
    <row r="178" spans="1:12" x14ac:dyDescent="0.3">
      <c r="A178" s="1">
        <v>5.8325110000000002</v>
      </c>
      <c r="B178" s="1">
        <v>2.3837819999999999E-2</v>
      </c>
      <c r="C178" s="1">
        <v>-96.834779999999995</v>
      </c>
      <c r="D178" s="1">
        <v>-2.0037440000000002</v>
      </c>
      <c r="E178" s="1">
        <v>99.144980000000004</v>
      </c>
      <c r="G178" s="1">
        <f t="shared" si="46"/>
        <v>-1.6900857414443544</v>
      </c>
      <c r="H178" s="1">
        <f t="shared" si="47"/>
        <v>-3.4971930167081264E-2</v>
      </c>
      <c r="I178" s="1">
        <f t="shared" si="48"/>
        <v>1.7304063378239278</v>
      </c>
      <c r="J178" s="1">
        <f t="shared" si="49"/>
        <v>-1.4163631717667912E-2</v>
      </c>
      <c r="K178" s="1">
        <f t="shared" si="50"/>
        <v>0.70081456681869081</v>
      </c>
      <c r="L178" s="1">
        <f t="shared" si="51"/>
        <v>4.9532953934253946E-4</v>
      </c>
    </row>
    <row r="179" spans="1:12" x14ac:dyDescent="0.3">
      <c r="A179" s="1">
        <v>5.8658440000000001</v>
      </c>
      <c r="B179" s="1">
        <v>3.6140880000000001E-3</v>
      </c>
      <c r="C179" s="1">
        <v>-96.866389999999996</v>
      </c>
      <c r="D179" s="1">
        <v>0.30742609999999998</v>
      </c>
      <c r="E179" s="1">
        <v>58.880519999999997</v>
      </c>
      <c r="G179" s="1">
        <f t="shared" si="46"/>
        <v>-1.6906374400209099</v>
      </c>
      <c r="H179" s="1">
        <f t="shared" si="47"/>
        <v>5.3655976515653387E-3</v>
      </c>
      <c r="I179" s="1">
        <f t="shared" si="48"/>
        <v>1.0276589392863715</v>
      </c>
      <c r="J179" s="1">
        <f t="shared" si="49"/>
        <v>2.1730670488839623E-3</v>
      </c>
      <c r="K179" s="1">
        <f t="shared" si="50"/>
        <v>0.4162018704109805</v>
      </c>
      <c r="L179" s="1">
        <f t="shared" si="51"/>
        <v>1.165980345418581E-5</v>
      </c>
    </row>
    <row r="180" spans="1:12" x14ac:dyDescent="0.3">
      <c r="A180" s="1">
        <v>5.899178</v>
      </c>
      <c r="B180" s="1">
        <v>2.420514E-2</v>
      </c>
      <c r="C180" s="1">
        <v>-96.814279999999997</v>
      </c>
      <c r="D180" s="1">
        <v>2.057925</v>
      </c>
      <c r="E180" s="1">
        <v>7.3296099999999997</v>
      </c>
      <c r="G180" s="1">
        <f t="shared" si="46"/>
        <v>-1.6897279489476955</v>
      </c>
      <c r="H180" s="1">
        <f t="shared" si="47"/>
        <v>3.5917567009104305E-2</v>
      </c>
      <c r="I180" s="1">
        <f t="shared" si="48"/>
        <v>0.12792582738710159</v>
      </c>
      <c r="J180" s="1">
        <f t="shared" si="49"/>
        <v>1.4546614638687245E-2</v>
      </c>
      <c r="K180" s="1">
        <f t="shared" si="50"/>
        <v>5.1809960091776151E-2</v>
      </c>
      <c r="L180" s="1">
        <f t="shared" si="51"/>
        <v>5.2247900604066673E-4</v>
      </c>
    </row>
    <row r="181" spans="1:12" x14ac:dyDescent="0.3">
      <c r="A181" s="1">
        <v>5.9325000000000001</v>
      </c>
      <c r="B181" s="1">
        <v>1.1560829999999999E-2</v>
      </c>
      <c r="C181" s="1">
        <v>-96.729219999999998</v>
      </c>
      <c r="D181" s="1">
        <v>0.98205540000000002</v>
      </c>
      <c r="E181" s="1">
        <v>147.14070000000001</v>
      </c>
      <c r="G181" s="1">
        <f t="shared" si="46"/>
        <v>-1.6882433718859495</v>
      </c>
      <c r="H181" s="1">
        <f t="shared" si="47"/>
        <v>1.714010016698992E-2</v>
      </c>
      <c r="I181" s="1">
        <f t="shared" si="48"/>
        <v>2.5680896786892209</v>
      </c>
      <c r="J181" s="1">
        <f t="shared" si="49"/>
        <v>6.941740567630918E-3</v>
      </c>
      <c r="K181" s="1">
        <f t="shared" si="50"/>
        <v>1.0400763198691345</v>
      </c>
      <c r="L181" s="1">
        <f t="shared" si="51"/>
        <v>1.189821286624514E-4</v>
      </c>
    </row>
    <row r="182" spans="1:12" x14ac:dyDescent="0.3">
      <c r="A182" s="1">
        <v>5.9658559999999996</v>
      </c>
      <c r="B182" s="1">
        <v>0.1158353</v>
      </c>
      <c r="C182" s="1">
        <v>-96.748800000000003</v>
      </c>
      <c r="D182" s="1">
        <v>9.85473</v>
      </c>
      <c r="E182" s="1">
        <v>296.59640000000002</v>
      </c>
      <c r="G182" s="1">
        <f t="shared" si="46"/>
        <v>-1.6885851073534901</v>
      </c>
      <c r="H182" s="1">
        <f t="shared" si="47"/>
        <v>0.1719974853950608</v>
      </c>
      <c r="I182" s="1">
        <f t="shared" si="48"/>
        <v>5.1765837295621102</v>
      </c>
      <c r="J182" s="1">
        <f t="shared" si="49"/>
        <v>6.9658981584999627E-2</v>
      </c>
      <c r="K182" s="1">
        <f t="shared" si="50"/>
        <v>2.0965164104726548</v>
      </c>
      <c r="L182" s="1">
        <f t="shared" si="51"/>
        <v>1.1981169667800783E-2</v>
      </c>
    </row>
    <row r="183" spans="1:12" x14ac:dyDescent="0.3">
      <c r="A183" s="1">
        <v>5.9991560000000002</v>
      </c>
      <c r="B183" s="1">
        <v>0.2762887</v>
      </c>
      <c r="C183" s="1">
        <v>-96.07235</v>
      </c>
      <c r="D183" s="1">
        <v>23.50994</v>
      </c>
      <c r="E183" s="1">
        <v>279.15710000000001</v>
      </c>
      <c r="G183" s="1">
        <f t="shared" si="46"/>
        <v>-1.6767788276283742</v>
      </c>
      <c r="H183" s="1">
        <f t="shared" si="47"/>
        <v>0.41032585994631571</v>
      </c>
      <c r="I183" s="1">
        <f t="shared" si="48"/>
        <v>4.8722105253190628</v>
      </c>
      <c r="J183" s="1">
        <f t="shared" si="49"/>
        <v>0.16618197327825787</v>
      </c>
      <c r="K183" s="1">
        <f t="shared" si="50"/>
        <v>1.9732452627542205</v>
      </c>
      <c r="L183" s="1">
        <f t="shared" si="51"/>
        <v>6.8188761092976821E-2</v>
      </c>
    </row>
    <row r="184" spans="1:12" x14ac:dyDescent="0.3">
      <c r="A184" s="1">
        <v>6.032489</v>
      </c>
      <c r="B184" s="1">
        <v>0.32587460000000001</v>
      </c>
      <c r="C184" s="1">
        <v>-95.182249999999996</v>
      </c>
      <c r="D184" s="1">
        <v>27.736809999999998</v>
      </c>
      <c r="E184" s="1">
        <v>93.143010000000004</v>
      </c>
      <c r="G184" s="1">
        <f t="shared" si="46"/>
        <v>-1.6612436519563725</v>
      </c>
      <c r="H184" s="1">
        <f t="shared" si="47"/>
        <v>0.48409865850008832</v>
      </c>
      <c r="I184" s="1">
        <f t="shared" si="48"/>
        <v>1.6256521997180036</v>
      </c>
      <c r="J184" s="1">
        <f t="shared" si="49"/>
        <v>0.19605995669253579</v>
      </c>
      <c r="K184" s="1">
        <f t="shared" si="50"/>
        <v>0.65838914088579148</v>
      </c>
      <c r="L184" s="1">
        <f t="shared" si="51"/>
        <v>9.4912362020441982E-2</v>
      </c>
    </row>
    <row r="185" spans="1:12" x14ac:dyDescent="0.3">
      <c r="A185" s="1">
        <v>6.0658219999999998</v>
      </c>
      <c r="B185" s="1">
        <v>0.34594269999999999</v>
      </c>
      <c r="C185" s="1">
        <v>-94.223219999999998</v>
      </c>
      <c r="D185" s="1">
        <v>29.449850000000001</v>
      </c>
      <c r="E185" s="1">
        <v>35.068370000000002</v>
      </c>
      <c r="G185" s="1">
        <f t="shared" si="46"/>
        <v>-1.6445054208309715</v>
      </c>
      <c r="H185" s="1">
        <f t="shared" si="47"/>
        <v>0.51399684671845203</v>
      </c>
      <c r="I185" s="1">
        <f t="shared" si="48"/>
        <v>0.61205851980760384</v>
      </c>
      <c r="J185" s="1">
        <f t="shared" si="49"/>
        <v>0.20816872292097308</v>
      </c>
      <c r="K185" s="1">
        <f t="shared" si="50"/>
        <v>0.24788370052207956</v>
      </c>
      <c r="L185" s="1">
        <f t="shared" si="51"/>
        <v>0.10699806716678731</v>
      </c>
    </row>
    <row r="186" spans="1:12" x14ac:dyDescent="0.3">
      <c r="A186" s="1">
        <v>6.0991439999999999</v>
      </c>
      <c r="B186" s="1">
        <v>0.35386990000000001</v>
      </c>
      <c r="C186" s="1">
        <v>-93.219260000000006</v>
      </c>
      <c r="D186" s="1">
        <v>30.124179999999999</v>
      </c>
      <c r="E186" s="1">
        <v>53.354230000000001</v>
      </c>
      <c r="G186" s="1">
        <f t="shared" si="46"/>
        <v>-1.6269830132726495</v>
      </c>
      <c r="H186" s="1">
        <f t="shared" si="47"/>
        <v>0.52576612546342538</v>
      </c>
      <c r="I186" s="1">
        <f t="shared" si="48"/>
        <v>0.93120698336633423</v>
      </c>
      <c r="J186" s="1">
        <f t="shared" si="49"/>
        <v>0.21293528081268728</v>
      </c>
      <c r="K186" s="1">
        <f t="shared" si="50"/>
        <v>0.37713882826336537</v>
      </c>
      <c r="L186" s="1">
        <f t="shared" si="51"/>
        <v>0.11195415756735307</v>
      </c>
    </row>
    <row r="187" spans="1:12" x14ac:dyDescent="0.3">
      <c r="A187" s="1">
        <v>6.1324779999999999</v>
      </c>
      <c r="B187" s="1">
        <v>0.38245590000000002</v>
      </c>
      <c r="C187" s="1">
        <v>-92.215280000000007</v>
      </c>
      <c r="D187" s="1">
        <v>32.56174</v>
      </c>
      <c r="E187" s="1">
        <v>57.93656</v>
      </c>
      <c r="G187" s="1">
        <f t="shared" si="46"/>
        <v>-1.6094602566484766</v>
      </c>
      <c r="H187" s="1">
        <f t="shared" si="47"/>
        <v>0.56830957317833841</v>
      </c>
      <c r="I187" s="1">
        <f t="shared" si="48"/>
        <v>1.011183729279246</v>
      </c>
      <c r="J187" s="1">
        <f t="shared" si="49"/>
        <v>0.23016537713722707</v>
      </c>
      <c r="K187" s="1">
        <f t="shared" si="50"/>
        <v>0.4095294103580947</v>
      </c>
      <c r="L187" s="1">
        <f t="shared" si="51"/>
        <v>0.13080518724128881</v>
      </c>
    </row>
    <row r="188" spans="1:12" x14ac:dyDescent="0.3">
      <c r="A188" s="1">
        <v>6.1657999999999999</v>
      </c>
      <c r="B188" s="1">
        <v>0.4077559</v>
      </c>
      <c r="C188" s="1">
        <v>-91.048839999999998</v>
      </c>
      <c r="D188" s="1">
        <v>34.716729999999998</v>
      </c>
      <c r="E188" s="1">
        <v>30.53876</v>
      </c>
      <c r="G188" s="1">
        <f t="shared" si="46"/>
        <v>-1.5891020381215137</v>
      </c>
      <c r="H188" s="1">
        <f t="shared" si="47"/>
        <v>0.60592124402589098</v>
      </c>
      <c r="I188" s="1">
        <f t="shared" si="48"/>
        <v>0.53300191147634346</v>
      </c>
      <c r="J188" s="1">
        <f t="shared" si="49"/>
        <v>0.24539810383048585</v>
      </c>
      <c r="K188" s="1">
        <f t="shared" si="50"/>
        <v>0.2158657741479191</v>
      </c>
      <c r="L188" s="1">
        <f t="shared" si="51"/>
        <v>0.14869192435456277</v>
      </c>
    </row>
    <row r="189" spans="1:12" x14ac:dyDescent="0.3">
      <c r="A189" s="1">
        <v>6.1991440000000004</v>
      </c>
      <c r="B189" s="1">
        <v>0.4017482</v>
      </c>
      <c r="C189" s="1">
        <v>-89.900829999999999</v>
      </c>
      <c r="D189" s="1">
        <v>34.204549999999998</v>
      </c>
      <c r="E189" s="1">
        <v>-35.679040000000001</v>
      </c>
      <c r="G189" s="1">
        <f t="shared" si="46"/>
        <v>-1.5690654837756939</v>
      </c>
      <c r="H189" s="1">
        <f t="shared" si="47"/>
        <v>0.59698201666302642</v>
      </c>
      <c r="I189" s="1">
        <f t="shared" si="48"/>
        <v>-0.62271672195075767</v>
      </c>
      <c r="J189" s="1">
        <f t="shared" si="49"/>
        <v>0.24177771674852572</v>
      </c>
      <c r="K189" s="1">
        <f t="shared" si="50"/>
        <v>-0.25220027239005688</v>
      </c>
      <c r="L189" s="1">
        <f t="shared" si="51"/>
        <v>0.14433694892871685</v>
      </c>
    </row>
    <row r="190" spans="1:12" x14ac:dyDescent="0.3">
      <c r="A190" s="1">
        <v>6.232456</v>
      </c>
      <c r="B190" s="1">
        <v>0.3819825</v>
      </c>
      <c r="C190" s="1">
        <v>-88.768910000000005</v>
      </c>
      <c r="D190" s="1">
        <v>32.526350000000001</v>
      </c>
      <c r="E190" s="1">
        <v>-37.279179999999997</v>
      </c>
      <c r="G190" s="1">
        <f t="shared" si="46"/>
        <v>-1.5493097529065198</v>
      </c>
      <c r="H190" s="1">
        <f t="shared" si="47"/>
        <v>0.56769190115605761</v>
      </c>
      <c r="I190" s="1">
        <f t="shared" si="48"/>
        <v>-0.65064443344361966</v>
      </c>
      <c r="J190" s="1">
        <f t="shared" si="49"/>
        <v>0.22991521996820335</v>
      </c>
      <c r="K190" s="1">
        <f t="shared" si="50"/>
        <v>-0.263510995544666</v>
      </c>
      <c r="L190" s="1">
        <f t="shared" si="51"/>
        <v>0.13052100832846253</v>
      </c>
    </row>
    <row r="191" spans="1:12" x14ac:dyDescent="0.3">
      <c r="A191" s="1">
        <v>6.2657889999999998</v>
      </c>
      <c r="B191" s="1">
        <v>0.36763489999999999</v>
      </c>
      <c r="C191" s="1">
        <v>-87.733130000000003</v>
      </c>
      <c r="D191" s="1">
        <v>31.303560000000001</v>
      </c>
      <c r="E191" s="1">
        <v>-90.386409999999998</v>
      </c>
      <c r="G191" s="1">
        <f t="shared" si="46"/>
        <v>-1.5312319815802129</v>
      </c>
      <c r="H191" s="1">
        <f t="shared" si="47"/>
        <v>0.54635018959559611</v>
      </c>
      <c r="I191" s="1">
        <f t="shared" si="48"/>
        <v>-1.5775404535575279</v>
      </c>
      <c r="J191" s="1">
        <f t="shared" si="49"/>
        <v>0.22127182678621643</v>
      </c>
      <c r="K191" s="1">
        <f t="shared" si="50"/>
        <v>-0.63890388369079887</v>
      </c>
      <c r="L191" s="1">
        <f t="shared" si="51"/>
        <v>0.12089190451681325</v>
      </c>
    </row>
    <row r="192" spans="1:12" x14ac:dyDescent="0.3">
      <c r="A192" s="1">
        <v>6.2991219999999997</v>
      </c>
      <c r="B192" s="1">
        <v>0.32116739999999999</v>
      </c>
      <c r="C192" s="1">
        <v>-86.682010000000005</v>
      </c>
      <c r="D192" s="1">
        <v>27.34891</v>
      </c>
      <c r="E192" s="1">
        <v>-86.543899999999994</v>
      </c>
      <c r="G192" s="1">
        <f t="shared" si="46"/>
        <v>-1.5128864767466499</v>
      </c>
      <c r="H192" s="1">
        <f t="shared" si="47"/>
        <v>0.47732852633160239</v>
      </c>
      <c r="I192" s="1">
        <f t="shared" si="48"/>
        <v>-1.5104760025167205</v>
      </c>
      <c r="J192" s="1">
        <f t="shared" si="49"/>
        <v>0.19331805316429898</v>
      </c>
      <c r="K192" s="1">
        <f t="shared" si="50"/>
        <v>-0.61174278101927182</v>
      </c>
      <c r="L192" s="1">
        <f t="shared" si="51"/>
        <v>9.2276221430209193E-2</v>
      </c>
    </row>
    <row r="193" spans="1:12" x14ac:dyDescent="0.3">
      <c r="A193" s="1">
        <v>6.3324780000000001</v>
      </c>
      <c r="B193" s="1">
        <v>0.28385149999999998</v>
      </c>
      <c r="C193" s="1">
        <v>-85.909260000000003</v>
      </c>
      <c r="D193" s="1">
        <v>24.17221</v>
      </c>
      <c r="E193" s="1">
        <v>-104.84059999999999</v>
      </c>
      <c r="G193" s="1">
        <f t="shared" si="46"/>
        <v>-1.4993994449518637</v>
      </c>
      <c r="H193" s="1">
        <f t="shared" si="47"/>
        <v>0.42188465198349845</v>
      </c>
      <c r="I193" s="1">
        <f t="shared" si="48"/>
        <v>-1.8298136597663668</v>
      </c>
      <c r="J193" s="1">
        <f t="shared" si="49"/>
        <v>0.17086328405331688</v>
      </c>
      <c r="K193" s="1">
        <f t="shared" si="50"/>
        <v>-0.74107453220537856</v>
      </c>
      <c r="L193" s="1">
        <f t="shared" si="51"/>
        <v>7.2084597129591227E-2</v>
      </c>
    </row>
    <row r="194" spans="1:12" x14ac:dyDescent="0.3">
      <c r="A194" s="1">
        <v>6.3657779999999997</v>
      </c>
      <c r="B194" s="1">
        <v>0.2553512</v>
      </c>
      <c r="C194" s="1">
        <v>-85.070800000000006</v>
      </c>
      <c r="D194" s="1">
        <v>21.747119999999999</v>
      </c>
      <c r="E194" s="1">
        <v>-82.448539999999994</v>
      </c>
      <c r="G194" s="1">
        <f t="shared" si="46"/>
        <v>-1.4847655573055922</v>
      </c>
      <c r="H194" s="1">
        <f t="shared" si="47"/>
        <v>0.37955884682630925</v>
      </c>
      <c r="I194" s="1">
        <f t="shared" si="48"/>
        <v>-1.4389984864622454</v>
      </c>
      <c r="J194" s="1">
        <f t="shared" si="49"/>
        <v>0.15372133296465526</v>
      </c>
      <c r="K194" s="1">
        <f t="shared" si="50"/>
        <v>-0.58279438701720943</v>
      </c>
      <c r="L194" s="1">
        <f t="shared" si="51"/>
        <v>5.8346291872667662E-2</v>
      </c>
    </row>
    <row r="195" spans="1:12" x14ac:dyDescent="0.3">
      <c r="A195" s="1">
        <v>6.3991110000000004</v>
      </c>
      <c r="B195" s="1">
        <v>0.20744170000000001</v>
      </c>
      <c r="C195" s="1">
        <v>-84.460179999999994</v>
      </c>
      <c r="D195" s="1">
        <v>17.658100000000001</v>
      </c>
      <c r="E195" s="1">
        <v>-224.56659999999999</v>
      </c>
      <c r="G195" s="1">
        <f t="shared" si="46"/>
        <v>-1.4741082278270641</v>
      </c>
      <c r="H195" s="1">
        <f t="shared" si="47"/>
        <v>0.30819198464641073</v>
      </c>
      <c r="I195" s="1">
        <f t="shared" si="48"/>
        <v>-3.9194265600090983</v>
      </c>
      <c r="J195" s="1">
        <f t="shared" si="49"/>
        <v>0.12481775378179635</v>
      </c>
      <c r="K195" s="1">
        <f t="shared" si="50"/>
        <v>-1.5873677568036848</v>
      </c>
      <c r="L195" s="1">
        <f t="shared" si="51"/>
        <v>3.8467831257118855E-2</v>
      </c>
    </row>
    <row r="196" spans="1:12" x14ac:dyDescent="0.3">
      <c r="A196" s="1">
        <v>6.4324219999999999</v>
      </c>
      <c r="B196" s="1">
        <v>9.7746120000000006E-2</v>
      </c>
      <c r="C196" s="1">
        <v>-83.893979999999999</v>
      </c>
      <c r="D196" s="1">
        <v>8.3170750000000009</v>
      </c>
      <c r="E196" s="1">
        <v>-234.48519999999999</v>
      </c>
      <c r="G196" s="1">
        <f t="shared" ref="G196:G259" si="52">C196 * PI() / 180</f>
        <v>-1.4642261736022724</v>
      </c>
      <c r="H196" s="1">
        <f t="shared" ref="H196:H259" si="53">D196 * PI() / 180</f>
        <v>0.14516034288530741</v>
      </c>
      <c r="I196" s="1">
        <f t="shared" ref="I196:I259" si="54">E196 * PI() / 180</f>
        <v>-4.092538787197407</v>
      </c>
      <c r="J196" s="1">
        <f t="shared" ref="J196:J259" si="55">(0.405*H196)</f>
        <v>5.8789938868549503E-2</v>
      </c>
      <c r="K196" s="1">
        <f t="shared" ref="K196:K259" si="56">(0.405*I196)</f>
        <v>-1.65747820881495</v>
      </c>
      <c r="L196" s="1">
        <f t="shared" ref="L196:L259" si="57">(0.405*(H196^2))</f>
        <v>8.5339676843649067E-3</v>
      </c>
    </row>
    <row r="197" spans="1:12" x14ac:dyDescent="0.3">
      <c r="A197" s="1">
        <v>6.4657559999999998</v>
      </c>
      <c r="B197" s="1">
        <v>4.4891389999999996E-3</v>
      </c>
      <c r="C197" s="1">
        <v>-83.905889999999999</v>
      </c>
      <c r="D197" s="1">
        <v>-0.35734440000000001</v>
      </c>
      <c r="E197" s="1">
        <v>-148.7071</v>
      </c>
      <c r="G197" s="1">
        <f t="shared" si="52"/>
        <v>-1.464434042316185</v>
      </c>
      <c r="H197" s="1">
        <f t="shared" si="53"/>
        <v>-6.2368363435636245E-3</v>
      </c>
      <c r="I197" s="1">
        <f t="shared" si="54"/>
        <v>-2.5954285160924595</v>
      </c>
      <c r="J197" s="1">
        <f t="shared" si="55"/>
        <v>-2.5259187191432682E-3</v>
      </c>
      <c r="K197" s="1">
        <f t="shared" si="56"/>
        <v>-1.0511485490174461</v>
      </c>
      <c r="L197" s="1">
        <f t="shared" si="57"/>
        <v>1.5753741668440414E-5</v>
      </c>
    </row>
    <row r="198" spans="1:12" x14ac:dyDescent="0.3">
      <c r="A198" s="1">
        <v>6.4990889999999997</v>
      </c>
      <c r="B198" s="1">
        <v>4.4891389999999996E-3</v>
      </c>
      <c r="C198" s="1">
        <v>-83.917810000000003</v>
      </c>
      <c r="D198" s="1">
        <v>-0.35740070000000002</v>
      </c>
      <c r="E198" s="1">
        <v>-1.689007E-3</v>
      </c>
      <c r="G198" s="1">
        <f t="shared" si="52"/>
        <v>-1.4646420855630229</v>
      </c>
      <c r="H198" s="1">
        <f t="shared" si="53"/>
        <v>-6.2378189639324981E-3</v>
      </c>
      <c r="I198" s="1">
        <f t="shared" si="54"/>
        <v>-2.9478733239231862E-5</v>
      </c>
      <c r="J198" s="1">
        <f t="shared" si="55"/>
        <v>-2.5263166803926617E-3</v>
      </c>
      <c r="K198" s="1">
        <f t="shared" si="56"/>
        <v>-1.1938886961888904E-5</v>
      </c>
      <c r="L198" s="1">
        <f t="shared" si="57"/>
        <v>1.5758706097852341E-5</v>
      </c>
    </row>
    <row r="199" spans="1:12" x14ac:dyDescent="0.3">
      <c r="A199" s="1">
        <v>6.5324220000000004</v>
      </c>
      <c r="B199" s="1">
        <v>4.4891389999999996E-3</v>
      </c>
      <c r="C199" s="1">
        <v>-83.929720000000003</v>
      </c>
      <c r="D199" s="1">
        <v>-0.35745700000000002</v>
      </c>
      <c r="E199" s="1">
        <v>-1.6881979999999999E-3</v>
      </c>
      <c r="G199" s="1">
        <f t="shared" si="52"/>
        <v>-1.4648499542769353</v>
      </c>
      <c r="H199" s="1">
        <f t="shared" si="53"/>
        <v>-6.2388015843013716E-3</v>
      </c>
      <c r="I199" s="1">
        <f t="shared" si="54"/>
        <v>-2.946461352558323E-5</v>
      </c>
      <c r="J199" s="1">
        <f t="shared" si="55"/>
        <v>-2.5267146416420557E-3</v>
      </c>
      <c r="K199" s="1">
        <f t="shared" si="56"/>
        <v>-1.1933168477861208E-5</v>
      </c>
      <c r="L199" s="1">
        <f t="shared" si="57"/>
        <v>1.5763671309353929E-5</v>
      </c>
    </row>
    <row r="200" spans="1:12" x14ac:dyDescent="0.3">
      <c r="A200" s="1">
        <v>6.5657560000000004</v>
      </c>
      <c r="B200" s="1">
        <v>4.4883910000000004E-3</v>
      </c>
      <c r="C200" s="1">
        <v>-83.941640000000007</v>
      </c>
      <c r="D200" s="1">
        <v>-0.35745369999999999</v>
      </c>
      <c r="E200" s="1">
        <v>-1.688513E-3</v>
      </c>
      <c r="G200" s="1">
        <f t="shared" si="52"/>
        <v>-1.4650579975237732</v>
      </c>
      <c r="H200" s="1">
        <f t="shared" si="53"/>
        <v>-6.2387439884360549E-3</v>
      </c>
      <c r="I200" s="1">
        <f t="shared" si="54"/>
        <v>-2.9470111312727011E-5</v>
      </c>
      <c r="J200" s="1">
        <f t="shared" si="55"/>
        <v>-2.5266913153166024E-3</v>
      </c>
      <c r="K200" s="1">
        <f t="shared" si="56"/>
        <v>-1.1935395081654441E-5</v>
      </c>
      <c r="L200" s="1">
        <f t="shared" si="57"/>
        <v>1.576338025406504E-5</v>
      </c>
    </row>
    <row r="201" spans="1:12" x14ac:dyDescent="0.3">
      <c r="A201" s="1">
        <v>6.5991</v>
      </c>
      <c r="B201" s="1">
        <v>4.4906360000000001E-3</v>
      </c>
      <c r="C201" s="1">
        <v>-83.953550000000007</v>
      </c>
      <c r="D201" s="1">
        <v>-0.35768870000000003</v>
      </c>
      <c r="E201" s="1">
        <v>-181.28739999999999</v>
      </c>
      <c r="G201" s="1">
        <f t="shared" si="52"/>
        <v>-1.4652658662376856</v>
      </c>
      <c r="H201" s="1">
        <f t="shared" si="53"/>
        <v>-6.242845512178242E-3</v>
      </c>
      <c r="I201" s="1">
        <f t="shared" si="54"/>
        <v>-3.1640620223799676</v>
      </c>
      <c r="J201" s="1">
        <f t="shared" si="55"/>
        <v>-2.5283524324321884E-3</v>
      </c>
      <c r="K201" s="1">
        <f t="shared" si="56"/>
        <v>-1.2814451190638869</v>
      </c>
      <c r="L201" s="1">
        <f t="shared" si="57"/>
        <v>1.5784113636014227E-5</v>
      </c>
    </row>
    <row r="202" spans="1:12" x14ac:dyDescent="0.3">
      <c r="A202" s="1">
        <v>6.6323999999999996</v>
      </c>
      <c r="B202" s="1">
        <v>0.1284515</v>
      </c>
      <c r="C202" s="1">
        <v>-83.965469999999996</v>
      </c>
      <c r="D202" s="1">
        <v>-10.934570000000001</v>
      </c>
      <c r="E202" s="1">
        <v>-300.05439999999999</v>
      </c>
      <c r="G202" s="1">
        <f t="shared" si="52"/>
        <v>-1.4654739094845231</v>
      </c>
      <c r="H202" s="1">
        <f t="shared" si="53"/>
        <v>-0.19084424878979639</v>
      </c>
      <c r="I202" s="1">
        <f t="shared" si="54"/>
        <v>-5.2369372150960736</v>
      </c>
      <c r="J202" s="1">
        <f t="shared" si="55"/>
        <v>-7.7291920759867544E-2</v>
      </c>
      <c r="K202" s="1">
        <f t="shared" si="56"/>
        <v>-2.1209595721139101</v>
      </c>
      <c r="L202" s="1">
        <f t="shared" si="57"/>
        <v>1.4750718554937391E-2</v>
      </c>
    </row>
    <row r="203" spans="1:12" x14ac:dyDescent="0.3">
      <c r="A203" s="1">
        <v>6.6657330000000004</v>
      </c>
      <c r="B203" s="1">
        <v>0.2717038</v>
      </c>
      <c r="C203" s="1">
        <v>-84.682159999999996</v>
      </c>
      <c r="D203" s="1">
        <v>-23.1416</v>
      </c>
      <c r="E203" s="1">
        <v>-252.39490000000001</v>
      </c>
      <c r="G203" s="1">
        <f t="shared" si="52"/>
        <v>-1.4779825097006412</v>
      </c>
      <c r="H203" s="1">
        <f t="shared" si="53"/>
        <v>-0.40389711417951973</v>
      </c>
      <c r="I203" s="1">
        <f t="shared" si="54"/>
        <v>-4.4051220202418362</v>
      </c>
      <c r="J203" s="1">
        <f t="shared" si="55"/>
        <v>-0.16357833124270552</v>
      </c>
      <c r="K203" s="1">
        <f t="shared" si="56"/>
        <v>-1.7840744181979438</v>
      </c>
      <c r="L203" s="1">
        <f t="shared" si="57"/>
        <v>6.6068815931230318E-2</v>
      </c>
    </row>
    <row r="204" spans="1:12" x14ac:dyDescent="0.3">
      <c r="A204" s="1">
        <v>6.6990559999999997</v>
      </c>
      <c r="B204" s="1">
        <v>0.3106777</v>
      </c>
      <c r="C204" s="1">
        <v>-85.507990000000007</v>
      </c>
      <c r="D204" s="1">
        <v>-26.465299999999999</v>
      </c>
      <c r="E204" s="1">
        <v>-97.447580000000002</v>
      </c>
      <c r="G204" s="1">
        <f t="shared" si="52"/>
        <v>-1.4923959622623864</v>
      </c>
      <c r="H204" s="1">
        <f t="shared" si="53"/>
        <v>-0.46190662252805531</v>
      </c>
      <c r="I204" s="1">
        <f t="shared" si="54"/>
        <v>-1.7007811191005759</v>
      </c>
      <c r="J204" s="1">
        <f t="shared" si="55"/>
        <v>-0.18707218212386242</v>
      </c>
      <c r="K204" s="1">
        <f t="shared" si="56"/>
        <v>-0.68881635323573331</v>
      </c>
      <c r="L204" s="1">
        <f t="shared" si="57"/>
        <v>8.6409879813786533E-2</v>
      </c>
    </row>
    <row r="205" spans="1:12" x14ac:dyDescent="0.3">
      <c r="A205" s="1">
        <v>6.7323890000000004</v>
      </c>
      <c r="B205" s="1">
        <v>0.34819699999999998</v>
      </c>
      <c r="C205" s="1">
        <v>-86.446219999999997</v>
      </c>
      <c r="D205" s="1">
        <v>-29.664239999999999</v>
      </c>
      <c r="E205" s="1">
        <v>-102.9033</v>
      </c>
      <c r="G205" s="1">
        <f t="shared" si="52"/>
        <v>-1.5087711649033724</v>
      </c>
      <c r="H205" s="1">
        <f t="shared" si="53"/>
        <v>-0.51773865810180264</v>
      </c>
      <c r="I205" s="1">
        <f t="shared" si="54"/>
        <v>-1.796001396167481</v>
      </c>
      <c r="J205" s="1">
        <f t="shared" si="55"/>
        <v>-0.20968415653123007</v>
      </c>
      <c r="K205" s="1">
        <f t="shared" si="56"/>
        <v>-0.72738056544782981</v>
      </c>
      <c r="L205" s="1">
        <f t="shared" si="57"/>
        <v>0.10856159382768739</v>
      </c>
    </row>
    <row r="206" spans="1:12" x14ac:dyDescent="0.3">
      <c r="A206" s="1">
        <v>6.7657220000000002</v>
      </c>
      <c r="B206" s="1">
        <v>0.38997739999999997</v>
      </c>
      <c r="C206" s="1">
        <v>-87.485609999999994</v>
      </c>
      <c r="D206" s="1">
        <v>-33.221249999999998</v>
      </c>
      <c r="E206" s="1">
        <v>-76.173630000000003</v>
      </c>
      <c r="G206" s="1">
        <f t="shared" si="52"/>
        <v>-1.5269119426156761</v>
      </c>
      <c r="H206" s="1">
        <f t="shared" si="53"/>
        <v>-0.5798201941281661</v>
      </c>
      <c r="I206" s="1">
        <f t="shared" si="54"/>
        <v>-1.3294806466959281</v>
      </c>
      <c r="J206" s="1">
        <f t="shared" si="55"/>
        <v>-0.23482717862190727</v>
      </c>
      <c r="K206" s="1">
        <f t="shared" si="56"/>
        <v>-0.53843966191185089</v>
      </c>
      <c r="L206" s="1">
        <f t="shared" si="57"/>
        <v>0.13615754029512384</v>
      </c>
    </row>
    <row r="207" spans="1:12" x14ac:dyDescent="0.3">
      <c r="A207" s="1">
        <v>6.7990560000000002</v>
      </c>
      <c r="B207" s="1">
        <v>0.412385</v>
      </c>
      <c r="C207" s="1">
        <v>-88.660970000000006</v>
      </c>
      <c r="D207" s="1">
        <v>-35.132649999999998</v>
      </c>
      <c r="E207" s="1">
        <v>-25.258109999999999</v>
      </c>
      <c r="G207" s="1">
        <f t="shared" si="52"/>
        <v>-1.5474258445119169</v>
      </c>
      <c r="H207" s="1">
        <f t="shared" si="53"/>
        <v>-0.61318041745078578</v>
      </c>
      <c r="I207" s="1">
        <f t="shared" si="54"/>
        <v>-0.44083718233090491</v>
      </c>
      <c r="J207" s="1">
        <f t="shared" si="55"/>
        <v>-0.24833806906756825</v>
      </c>
      <c r="K207" s="1">
        <f t="shared" si="56"/>
        <v>-0.1785390588440165</v>
      </c>
      <c r="L207" s="1">
        <f t="shared" si="57"/>
        <v>0.15227604085977359</v>
      </c>
    </row>
    <row r="208" spans="1:12" x14ac:dyDescent="0.3">
      <c r="A208" s="1">
        <v>6.8323780000000003</v>
      </c>
      <c r="B208" s="1">
        <v>0.40655560000000002</v>
      </c>
      <c r="C208" s="1">
        <v>-89.827389999999994</v>
      </c>
      <c r="D208" s="1">
        <v>-34.638640000000002</v>
      </c>
      <c r="E208" s="1">
        <v>16.808990000000001</v>
      </c>
      <c r="G208" s="1">
        <f t="shared" si="52"/>
        <v>-1.5677837139730288</v>
      </c>
      <c r="H208" s="1">
        <f t="shared" si="53"/>
        <v>-0.60455831641300872</v>
      </c>
      <c r="I208" s="1">
        <f t="shared" si="54"/>
        <v>0.29337221943480168</v>
      </c>
      <c r="J208" s="1">
        <f t="shared" si="55"/>
        <v>-0.24484611814726856</v>
      </c>
      <c r="K208" s="1">
        <f t="shared" si="56"/>
        <v>0.1188157488710947</v>
      </c>
      <c r="L208" s="1">
        <f t="shared" si="57"/>
        <v>0.1480237569673733</v>
      </c>
    </row>
    <row r="209" spans="1:12" x14ac:dyDescent="0.3">
      <c r="A209" s="1">
        <v>6.8657000000000004</v>
      </c>
      <c r="B209" s="1">
        <v>0.39879140000000002</v>
      </c>
      <c r="C209" s="1">
        <v>-90.969440000000006</v>
      </c>
      <c r="D209" s="1">
        <v>-33.969470000000001</v>
      </c>
      <c r="E209" s="1">
        <v>8.9870760000000001</v>
      </c>
      <c r="G209" s="1">
        <f t="shared" si="52"/>
        <v>-1.5877162466954307</v>
      </c>
      <c r="H209" s="1">
        <f t="shared" si="53"/>
        <v>-0.59287909665743821</v>
      </c>
      <c r="I209" s="1">
        <f t="shared" si="54"/>
        <v>0.15685406632696192</v>
      </c>
      <c r="J209" s="1">
        <f t="shared" si="55"/>
        <v>-0.24011603414626248</v>
      </c>
      <c r="K209" s="1">
        <f t="shared" si="56"/>
        <v>6.3525896862419579E-2</v>
      </c>
      <c r="L209" s="1">
        <f t="shared" si="57"/>
        <v>0.1423597774176027</v>
      </c>
    </row>
    <row r="210" spans="1:12" x14ac:dyDescent="0.3">
      <c r="A210" s="1">
        <v>6.8990330000000002</v>
      </c>
      <c r="B210" s="1">
        <v>0.39856780000000003</v>
      </c>
      <c r="C210" s="1">
        <v>-92.091650000000001</v>
      </c>
      <c r="D210" s="1">
        <v>-33.954169999999998</v>
      </c>
      <c r="E210" s="1">
        <v>18.71011</v>
      </c>
      <c r="G210" s="1">
        <f t="shared" si="52"/>
        <v>-1.6073025060942361</v>
      </c>
      <c r="H210" s="1">
        <f t="shared" si="53"/>
        <v>-0.59261206128188304</v>
      </c>
      <c r="I210" s="1">
        <f t="shared" si="54"/>
        <v>0.32655302291031624</v>
      </c>
      <c r="J210" s="1">
        <f t="shared" si="55"/>
        <v>-0.24000788481916266</v>
      </c>
      <c r="K210" s="1">
        <f t="shared" si="56"/>
        <v>0.13225397427867808</v>
      </c>
      <c r="L210" s="1">
        <f t="shared" si="57"/>
        <v>0.14223156734658873</v>
      </c>
    </row>
    <row r="211" spans="1:12" x14ac:dyDescent="0.3">
      <c r="A211" s="1">
        <v>6.9323670000000002</v>
      </c>
      <c r="B211" s="1">
        <v>0.38770070000000001</v>
      </c>
      <c r="C211" s="1">
        <v>-93.233059999999995</v>
      </c>
      <c r="D211" s="1">
        <v>-33.022280000000002</v>
      </c>
      <c r="E211" s="1">
        <v>63.654409999999999</v>
      </c>
      <c r="G211" s="1">
        <f t="shared" si="52"/>
        <v>-1.6272238687094245</v>
      </c>
      <c r="H211" s="1">
        <f t="shared" si="53"/>
        <v>-0.57634751251547311</v>
      </c>
      <c r="I211" s="1">
        <f t="shared" si="54"/>
        <v>1.1109790379144036</v>
      </c>
      <c r="J211" s="1">
        <f t="shared" si="55"/>
        <v>-0.23342074256876663</v>
      </c>
      <c r="K211" s="1">
        <f t="shared" si="56"/>
        <v>0.44994651035533345</v>
      </c>
      <c r="L211" s="1">
        <f t="shared" si="57"/>
        <v>0.13453146434902324</v>
      </c>
    </row>
    <row r="212" spans="1:12" x14ac:dyDescent="0.3">
      <c r="A212" s="1">
        <v>6.9656890000000002</v>
      </c>
      <c r="B212" s="1">
        <v>0.347943</v>
      </c>
      <c r="C212" s="1">
        <v>-94.292770000000004</v>
      </c>
      <c r="D212" s="1">
        <v>-29.639389999999999</v>
      </c>
      <c r="E212" s="1">
        <v>116.92829999999999</v>
      </c>
      <c r="G212" s="1">
        <f t="shared" si="52"/>
        <v>-1.6457192973257337</v>
      </c>
      <c r="H212" s="1">
        <f t="shared" si="53"/>
        <v>-0.5173049437826821</v>
      </c>
      <c r="I212" s="1">
        <f t="shared" si="54"/>
        <v>2.0407838237596856</v>
      </c>
      <c r="J212" s="1">
        <f t="shared" si="55"/>
        <v>-0.20950850223198628</v>
      </c>
      <c r="K212" s="1">
        <f t="shared" si="56"/>
        <v>0.82651744862267273</v>
      </c>
      <c r="L212" s="1">
        <f t="shared" si="57"/>
        <v>0.10837978396911158</v>
      </c>
    </row>
    <row r="213" spans="1:12" x14ac:dyDescent="0.3">
      <c r="A213" s="1">
        <v>6.9990110000000003</v>
      </c>
      <c r="B213" s="1">
        <v>0.29498619999999998</v>
      </c>
      <c r="C213" s="1">
        <v>-95.208359999999999</v>
      </c>
      <c r="D213" s="1">
        <v>-25.126840000000001</v>
      </c>
      <c r="E213" s="1">
        <v>418.85730000000001</v>
      </c>
      <c r="G213" s="1">
        <f t="shared" si="52"/>
        <v>-1.6616993574240686</v>
      </c>
      <c r="H213" s="1">
        <f t="shared" si="53"/>
        <v>-0.43854608862181205</v>
      </c>
      <c r="I213" s="1">
        <f t="shared" si="54"/>
        <v>7.3104389810136459</v>
      </c>
      <c r="J213" s="1">
        <f t="shared" si="55"/>
        <v>-0.1776111658918339</v>
      </c>
      <c r="K213" s="1">
        <f t="shared" si="56"/>
        <v>2.9607277873105269</v>
      </c>
      <c r="L213" s="1">
        <f t="shared" si="57"/>
        <v>7.7890682097423544E-2</v>
      </c>
    </row>
    <row r="214" spans="1:12" x14ac:dyDescent="0.3">
      <c r="A214" s="1">
        <v>7.0323330000000004</v>
      </c>
      <c r="B214" s="1">
        <v>4.7308490000000002E-2</v>
      </c>
      <c r="C214" s="1">
        <v>-95.967330000000004</v>
      </c>
      <c r="D214" s="1">
        <v>-4.0296979999999998</v>
      </c>
      <c r="E214" s="1">
        <v>368.31869999999998</v>
      </c>
      <c r="G214" s="1">
        <f t="shared" si="52"/>
        <v>-1.67494588284793</v>
      </c>
      <c r="H214" s="1">
        <f t="shared" si="53"/>
        <v>-7.0331497961030456E-2</v>
      </c>
      <c r="I214" s="1">
        <f t="shared" si="54"/>
        <v>6.4283740116652375</v>
      </c>
      <c r="J214" s="1">
        <f t="shared" si="55"/>
        <v>-2.8484256674217338E-2</v>
      </c>
      <c r="K214" s="1">
        <f t="shared" si="56"/>
        <v>2.6034914747244216</v>
      </c>
      <c r="L214" s="1">
        <f t="shared" si="57"/>
        <v>2.0033404402041849E-3</v>
      </c>
    </row>
    <row r="215" spans="1:12" x14ac:dyDescent="0.3">
      <c r="A215" s="1">
        <v>7.0656780000000001</v>
      </c>
      <c r="B215" s="1">
        <v>6.8002389999999996E-2</v>
      </c>
      <c r="C215" s="1">
        <v>-95.477000000000004</v>
      </c>
      <c r="D215" s="1">
        <v>5.7320270000000004</v>
      </c>
      <c r="E215" s="1">
        <v>88.296570000000003</v>
      </c>
      <c r="G215" s="1">
        <f t="shared" si="52"/>
        <v>-1.6663880099266262</v>
      </c>
      <c r="H215" s="1">
        <f t="shared" si="53"/>
        <v>0.10004274396321301</v>
      </c>
      <c r="I215" s="1">
        <f t="shared" si="54"/>
        <v>1.5410658647176496</v>
      </c>
      <c r="J215" s="1">
        <f t="shared" si="55"/>
        <v>4.0517311305101271E-2</v>
      </c>
      <c r="K215" s="1">
        <f t="shared" si="56"/>
        <v>0.62413167521064816</v>
      </c>
      <c r="L215" s="1">
        <f t="shared" si="57"/>
        <v>4.0534630009740431E-3</v>
      </c>
    </row>
    <row r="216" spans="1:12" x14ac:dyDescent="0.3">
      <c r="A216" s="1">
        <v>7.099011</v>
      </c>
      <c r="B216" s="1">
        <v>3.9763949999999999E-2</v>
      </c>
      <c r="C216" s="1">
        <v>-95.585130000000007</v>
      </c>
      <c r="D216" s="1">
        <v>-3.3689149999999999</v>
      </c>
      <c r="E216" s="1">
        <v>-19.24681</v>
      </c>
      <c r="G216" s="1">
        <f t="shared" si="52"/>
        <v>-1.6682752344468077</v>
      </c>
      <c r="H216" s="1">
        <f t="shared" si="53"/>
        <v>-5.8798658969824766E-2</v>
      </c>
      <c r="I216" s="1">
        <f t="shared" si="54"/>
        <v>-0.3359202050057698</v>
      </c>
      <c r="J216" s="1">
        <f t="shared" si="55"/>
        <v>-2.3813456882779031E-2</v>
      </c>
      <c r="K216" s="1">
        <f t="shared" si="56"/>
        <v>-0.13604768302733677</v>
      </c>
      <c r="L216" s="1">
        <f t="shared" si="57"/>
        <v>1.4001993301431506E-3</v>
      </c>
    </row>
    <row r="217" spans="1:12" x14ac:dyDescent="0.3">
      <c r="A217" s="1">
        <v>7.132333</v>
      </c>
      <c r="B217" s="1">
        <v>5.3801130000000003E-2</v>
      </c>
      <c r="C217" s="1">
        <v>-95.701560000000001</v>
      </c>
      <c r="D217" s="1">
        <v>4.5497180000000004</v>
      </c>
      <c r="E217" s="1">
        <v>98.061130000000006</v>
      </c>
      <c r="G217" s="1">
        <f t="shared" si="52"/>
        <v>-1.6703073212949044</v>
      </c>
      <c r="H217" s="1">
        <f t="shared" si="53"/>
        <v>7.9407559137251379E-2</v>
      </c>
      <c r="I217" s="1">
        <f t="shared" si="54"/>
        <v>1.7114895867261872</v>
      </c>
      <c r="J217" s="1">
        <f t="shared" si="55"/>
        <v>3.2160061450586808E-2</v>
      </c>
      <c r="K217" s="1">
        <f t="shared" si="56"/>
        <v>0.69315328262410592</v>
      </c>
      <c r="L217" s="1">
        <f t="shared" si="57"/>
        <v>2.5537519814951104E-3</v>
      </c>
    </row>
    <row r="218" spans="1:12" x14ac:dyDescent="0.3">
      <c r="A218" s="1">
        <v>7.1656560000000002</v>
      </c>
      <c r="B218" s="1">
        <v>7.5101730000000005E-2</v>
      </c>
      <c r="C218" s="1">
        <v>-95.28192</v>
      </c>
      <c r="D218" s="1">
        <v>6.371658</v>
      </c>
      <c r="E218" s="1">
        <v>-24.666460000000001</v>
      </c>
      <c r="G218" s="1">
        <f t="shared" si="52"/>
        <v>-1.6629832216218352</v>
      </c>
      <c r="H218" s="1">
        <f t="shared" si="53"/>
        <v>0.11120641091103685</v>
      </c>
      <c r="I218" s="1">
        <f t="shared" si="54"/>
        <v>-0.43051094181148047</v>
      </c>
      <c r="J218" s="1">
        <f t="shared" si="55"/>
        <v>4.5038596418969928E-2</v>
      </c>
      <c r="K218" s="1">
        <f t="shared" si="56"/>
        <v>-0.17435693143364961</v>
      </c>
      <c r="L218" s="1">
        <f t="shared" si="57"/>
        <v>5.0085806602243226E-3</v>
      </c>
    </row>
    <row r="219" spans="1:12" x14ac:dyDescent="0.3">
      <c r="A219" s="1">
        <v>7.1989780000000003</v>
      </c>
      <c r="B219" s="1">
        <v>1.4478780000000001E-3</v>
      </c>
      <c r="C219" s="1">
        <v>-95.276920000000004</v>
      </c>
      <c r="D219" s="1">
        <v>-4.4147799999999998E-5</v>
      </c>
      <c r="E219" s="1">
        <v>-119.4276</v>
      </c>
      <c r="G219" s="1">
        <f t="shared" si="52"/>
        <v>-1.6628959551592357</v>
      </c>
      <c r="H219" s="1">
        <f t="shared" si="53"/>
        <v>-7.7052446751195264E-7</v>
      </c>
      <c r="I219" s="1">
        <f t="shared" si="54"/>
        <v>-2.0844048377547799</v>
      </c>
      <c r="J219" s="1">
        <f t="shared" si="55"/>
        <v>-3.1206240934234087E-7</v>
      </c>
      <c r="K219" s="1">
        <f t="shared" si="56"/>
        <v>-0.8441839592906859</v>
      </c>
      <c r="L219" s="1">
        <f t="shared" si="57"/>
        <v>2.404517217890042E-13</v>
      </c>
    </row>
    <row r="220" spans="1:12" x14ac:dyDescent="0.3">
      <c r="A220" s="1">
        <v>7.2323219999999999</v>
      </c>
      <c r="B220" s="1">
        <v>8.9620949999999998E-3</v>
      </c>
      <c r="C220" s="1">
        <v>-95.28192</v>
      </c>
      <c r="D220" s="1">
        <v>-0.66969619999999996</v>
      </c>
      <c r="E220" s="1">
        <v>-5.2328000000000001</v>
      </c>
      <c r="G220" s="1">
        <f t="shared" si="52"/>
        <v>-1.6629832216218352</v>
      </c>
      <c r="H220" s="1">
        <f t="shared" si="53"/>
        <v>-1.1688403678094447E-2</v>
      </c>
      <c r="I220" s="1">
        <f t="shared" si="54"/>
        <v>-9.1329589098359282E-2</v>
      </c>
      <c r="J220" s="1">
        <f t="shared" si="55"/>
        <v>-4.7338034896282511E-3</v>
      </c>
      <c r="K220" s="1">
        <f t="shared" si="56"/>
        <v>-3.6988483584835509E-2</v>
      </c>
      <c r="L220" s="1">
        <f t="shared" si="57"/>
        <v>5.5330606119547179E-5</v>
      </c>
    </row>
    <row r="221" spans="1:12" x14ac:dyDescent="0.3">
      <c r="A221" s="1">
        <v>7.265644</v>
      </c>
      <c r="B221" s="1">
        <v>7.5008130000000003E-3</v>
      </c>
      <c r="C221" s="1">
        <v>-95.321569999999994</v>
      </c>
      <c r="D221" s="1">
        <v>-0.56521909999999997</v>
      </c>
      <c r="E221" s="1">
        <v>323.25779999999997</v>
      </c>
      <c r="G221" s="1">
        <f t="shared" si="52"/>
        <v>-1.6636752446702512</v>
      </c>
      <c r="H221" s="1">
        <f t="shared" si="53"/>
        <v>-9.8649342901590813E-3</v>
      </c>
      <c r="I221" s="1">
        <f t="shared" si="54"/>
        <v>5.6419129427533257</v>
      </c>
      <c r="J221" s="1">
        <f t="shared" si="55"/>
        <v>-3.9952983875144281E-3</v>
      </c>
      <c r="K221" s="1">
        <f t="shared" si="56"/>
        <v>2.284974741815097</v>
      </c>
      <c r="L221" s="1">
        <f t="shared" si="57"/>
        <v>3.9413356062408368E-5</v>
      </c>
    </row>
    <row r="222" spans="1:12" x14ac:dyDescent="0.3">
      <c r="A222" s="1">
        <v>7.298978</v>
      </c>
      <c r="B222" s="1">
        <v>0.21719910000000001</v>
      </c>
      <c r="C222" s="1">
        <v>-95.319599999999994</v>
      </c>
      <c r="D222" s="1">
        <v>18.499179999999999</v>
      </c>
      <c r="E222" s="1">
        <v>222.3854</v>
      </c>
      <c r="G222" s="1">
        <f t="shared" si="52"/>
        <v>-1.6636408616839866</v>
      </c>
      <c r="H222" s="1">
        <f t="shared" si="53"/>
        <v>0.3228715999190846</v>
      </c>
      <c r="I222" s="1">
        <f t="shared" si="54"/>
        <v>3.8813574383645979</v>
      </c>
      <c r="J222" s="1">
        <f t="shared" si="55"/>
        <v>0.13076299796722926</v>
      </c>
      <c r="K222" s="1">
        <f t="shared" si="56"/>
        <v>1.5719497625376622</v>
      </c>
      <c r="L222" s="1">
        <f t="shared" si="57"/>
        <v>4.2219658363895324E-2</v>
      </c>
    </row>
    <row r="223" spans="1:12" x14ac:dyDescent="0.3">
      <c r="A223" s="1">
        <v>7.3323109999999998</v>
      </c>
      <c r="B223" s="1">
        <v>0.25396570000000002</v>
      </c>
      <c r="C223" s="1">
        <v>-94.088290000000001</v>
      </c>
      <c r="D223" s="1">
        <v>21.62518</v>
      </c>
      <c r="E223" s="1">
        <v>119.2072</v>
      </c>
      <c r="G223" s="1">
        <f t="shared" si="52"/>
        <v>-1.6421504480712554</v>
      </c>
      <c r="H223" s="1">
        <f t="shared" si="53"/>
        <v>0.37743059233642734</v>
      </c>
      <c r="I223" s="1">
        <f t="shared" si="54"/>
        <v>2.0805581320833841</v>
      </c>
      <c r="J223" s="1">
        <f t="shared" si="55"/>
        <v>0.15285938989625308</v>
      </c>
      <c r="K223" s="1">
        <f t="shared" si="56"/>
        <v>0.84262604349377068</v>
      </c>
      <c r="L223" s="1">
        <f t="shared" si="57"/>
        <v>5.7693810072727697E-2</v>
      </c>
    </row>
    <row r="224" spans="1:12" x14ac:dyDescent="0.3">
      <c r="A224" s="1">
        <v>7.3656439999999996</v>
      </c>
      <c r="B224" s="1">
        <v>0.20886679999999999</v>
      </c>
      <c r="C224" s="1">
        <v>-93.877920000000003</v>
      </c>
      <c r="D224" s="1">
        <v>17.79776</v>
      </c>
      <c r="E224" s="1">
        <v>32.973089999999999</v>
      </c>
      <c r="G224" s="1">
        <f t="shared" si="52"/>
        <v>-1.6384787989238352</v>
      </c>
      <c r="H224" s="1">
        <f t="shared" si="53"/>
        <v>0.31062951147974599</v>
      </c>
      <c r="I224" s="1">
        <f t="shared" si="54"/>
        <v>0.57548898505641699</v>
      </c>
      <c r="J224" s="1">
        <f t="shared" si="55"/>
        <v>0.12580495214929713</v>
      </c>
      <c r="K224" s="1">
        <f t="shared" si="56"/>
        <v>0.23307303894784889</v>
      </c>
      <c r="L224" s="1">
        <f t="shared" si="57"/>
        <v>3.9078730827868995E-2</v>
      </c>
    </row>
    <row r="225" spans="1:12" x14ac:dyDescent="0.3">
      <c r="A225" s="1">
        <v>7.3989669999999998</v>
      </c>
      <c r="B225" s="1">
        <v>0.34367629999999999</v>
      </c>
      <c r="C225" s="1">
        <v>-92.901970000000006</v>
      </c>
      <c r="D225" s="1">
        <v>29.29496</v>
      </c>
      <c r="E225" s="1">
        <v>237.12690000000001</v>
      </c>
      <c r="G225" s="1">
        <f t="shared" si="52"/>
        <v>-1.6214452580889966</v>
      </c>
      <c r="H225" s="1">
        <f t="shared" si="53"/>
        <v>0.511293506240038</v>
      </c>
      <c r="I225" s="1">
        <f t="shared" si="54"/>
        <v>4.138645150047342</v>
      </c>
      <c r="J225" s="1">
        <f t="shared" si="55"/>
        <v>0.20707387002721539</v>
      </c>
      <c r="K225" s="1">
        <f t="shared" si="56"/>
        <v>1.6761512857691736</v>
      </c>
      <c r="L225" s="1">
        <f t="shared" si="57"/>
        <v>0.10587552505690886</v>
      </c>
    </row>
    <row r="226" spans="1:12" x14ac:dyDescent="0.3">
      <c r="A226" s="1">
        <v>7.4322999999999997</v>
      </c>
      <c r="B226" s="1">
        <v>0.37118790000000002</v>
      </c>
      <c r="C226" s="1">
        <v>-91.925250000000005</v>
      </c>
      <c r="D226" s="1">
        <v>31.633710000000001</v>
      </c>
      <c r="E226" s="1">
        <v>53.385019999999997</v>
      </c>
      <c r="G226" s="1">
        <f t="shared" si="52"/>
        <v>-1.6043982782189175</v>
      </c>
      <c r="H226" s="1">
        <f t="shared" si="53"/>
        <v>0.55211239412105539</v>
      </c>
      <c r="I226" s="1">
        <f t="shared" si="54"/>
        <v>0.93174437024302315</v>
      </c>
      <c r="J226" s="1">
        <f t="shared" si="55"/>
        <v>0.22360551961902744</v>
      </c>
      <c r="K226" s="1">
        <f t="shared" si="56"/>
        <v>0.37735646994842442</v>
      </c>
      <c r="L226" s="1">
        <f t="shared" si="57"/>
        <v>0.12345537877554386</v>
      </c>
    </row>
    <row r="227" spans="1:12" x14ac:dyDescent="0.3">
      <c r="A227" s="1">
        <v>7.4656219999999998</v>
      </c>
      <c r="B227" s="1">
        <v>0.39396530000000002</v>
      </c>
      <c r="C227" s="1">
        <v>-90.793409999999994</v>
      </c>
      <c r="D227" s="1">
        <v>33.577170000000002</v>
      </c>
      <c r="E227" s="1">
        <v>22.766159999999999</v>
      </c>
      <c r="G227" s="1">
        <f t="shared" si="52"/>
        <v>-1.5846439436131448</v>
      </c>
      <c r="H227" s="1">
        <f t="shared" si="53"/>
        <v>0.58603217000186447</v>
      </c>
      <c r="I227" s="1">
        <f t="shared" si="54"/>
        <v>0.39734445003583219</v>
      </c>
      <c r="J227" s="1">
        <f t="shared" si="55"/>
        <v>0.23734302885075512</v>
      </c>
      <c r="K227" s="1">
        <f t="shared" si="56"/>
        <v>0.16092450226451205</v>
      </c>
      <c r="L227" s="1">
        <f t="shared" si="57"/>
        <v>0.13909065023222317</v>
      </c>
    </row>
    <row r="228" spans="1:12" x14ac:dyDescent="0.3">
      <c r="A228" s="1">
        <v>7.4989439999999998</v>
      </c>
      <c r="B228" s="1">
        <v>0.3844766</v>
      </c>
      <c r="C228" s="1">
        <v>-89.687510000000003</v>
      </c>
      <c r="D228" s="1">
        <v>32.766919999999999</v>
      </c>
      <c r="E228" s="1">
        <v>-6.6820500000000003</v>
      </c>
      <c r="G228" s="1">
        <f t="shared" si="52"/>
        <v>-1.5653423474153394</v>
      </c>
      <c r="H228" s="1">
        <f t="shared" si="53"/>
        <v>0.57189063973758025</v>
      </c>
      <c r="I228" s="1">
        <f t="shared" si="54"/>
        <v>-0.1166237732828871</v>
      </c>
      <c r="J228" s="1">
        <f t="shared" si="55"/>
        <v>0.23161570909372001</v>
      </c>
      <c r="K228" s="1">
        <f t="shared" si="56"/>
        <v>-4.7232628179569282E-2</v>
      </c>
      <c r="L228" s="1">
        <f t="shared" si="57"/>
        <v>0.13245885604688082</v>
      </c>
    </row>
    <row r="229" spans="1:12" x14ac:dyDescent="0.3">
      <c r="A229" s="1">
        <v>7.5322779999999998</v>
      </c>
      <c r="B229" s="1">
        <v>0.38669160000000002</v>
      </c>
      <c r="C229" s="1">
        <v>-88.609309999999994</v>
      </c>
      <c r="D229" s="1">
        <v>32.957500000000003</v>
      </c>
      <c r="E229" s="1">
        <v>-7.8007520000000001</v>
      </c>
      <c r="G229" s="1">
        <f t="shared" si="52"/>
        <v>-1.5465242074203367</v>
      </c>
      <c r="H229" s="1">
        <f t="shared" si="53"/>
        <v>0.57521688822603123</v>
      </c>
      <c r="I229" s="1">
        <f t="shared" si="54"/>
        <v>-0.13614880653153272</v>
      </c>
      <c r="J229" s="1">
        <f t="shared" si="55"/>
        <v>0.23296283973154266</v>
      </c>
      <c r="K229" s="1">
        <f t="shared" si="56"/>
        <v>-5.5140266645270754E-2</v>
      </c>
      <c r="L229" s="1">
        <f t="shared" si="57"/>
        <v>0.1340041597426776</v>
      </c>
    </row>
    <row r="230" spans="1:12" x14ac:dyDescent="0.3">
      <c r="A230" s="1">
        <v>7.5656330000000001</v>
      </c>
      <c r="B230" s="1">
        <v>0.38275609999999999</v>
      </c>
      <c r="C230" s="1">
        <v>-87.489609999999999</v>
      </c>
      <c r="D230" s="1">
        <v>32.623220000000003</v>
      </c>
      <c r="E230" s="1">
        <v>-26.541039999999999</v>
      </c>
      <c r="G230" s="1">
        <f t="shared" si="52"/>
        <v>-1.5269817557857559</v>
      </c>
      <c r="H230" s="1">
        <f t="shared" si="53"/>
        <v>0.56938260160246457</v>
      </c>
      <c r="I230" s="1">
        <f t="shared" si="54"/>
        <v>-0.46322853490351579</v>
      </c>
      <c r="J230" s="1">
        <f t="shared" si="55"/>
        <v>0.23059995364899816</v>
      </c>
      <c r="K230" s="1">
        <f t="shared" si="56"/>
        <v>-0.18760755663592391</v>
      </c>
      <c r="L230" s="1">
        <f t="shared" si="57"/>
        <v>0.13129960153807432</v>
      </c>
    </row>
    <row r="231" spans="1:12" x14ac:dyDescent="0.3">
      <c r="A231" s="1">
        <v>7.5989329999999997</v>
      </c>
      <c r="B231" s="1">
        <v>0.36280299999999999</v>
      </c>
      <c r="C231" s="1">
        <v>-86.434790000000007</v>
      </c>
      <c r="D231" s="1">
        <v>30.927769999999999</v>
      </c>
      <c r="E231" s="1">
        <v>-69.279399999999995</v>
      </c>
      <c r="G231" s="1">
        <f t="shared" si="52"/>
        <v>-1.5085716737698698</v>
      </c>
      <c r="H231" s="1">
        <f t="shared" si="53"/>
        <v>0.53979141679952658</v>
      </c>
      <c r="I231" s="1">
        <f t="shared" si="54"/>
        <v>-1.2091536338061595</v>
      </c>
      <c r="J231" s="1">
        <f t="shared" si="55"/>
        <v>0.21861552380380828</v>
      </c>
      <c r="K231" s="1">
        <f t="shared" si="56"/>
        <v>-0.48970722169149461</v>
      </c>
      <c r="L231" s="1">
        <f t="shared" si="57"/>
        <v>0.1180067833284283</v>
      </c>
    </row>
    <row r="232" spans="1:12" x14ac:dyDescent="0.3">
      <c r="A232" s="1">
        <v>7.6323109999999996</v>
      </c>
      <c r="B232" s="1">
        <v>0.33113110000000001</v>
      </c>
      <c r="C232" s="1">
        <v>-85.427419999999998</v>
      </c>
      <c r="D232" s="1">
        <v>28.226669999999999</v>
      </c>
      <c r="E232" s="1">
        <v>-249.4195</v>
      </c>
      <c r="G232" s="1">
        <f t="shared" si="52"/>
        <v>-1.4909897504840541</v>
      </c>
      <c r="H232" s="1">
        <f t="shared" si="53"/>
        <v>0.49264832837390782</v>
      </c>
      <c r="I232" s="1">
        <f t="shared" si="54"/>
        <v>-4.353191493677997</v>
      </c>
      <c r="J232" s="1">
        <f t="shared" si="55"/>
        <v>0.19952257299143267</v>
      </c>
      <c r="K232" s="1">
        <f t="shared" si="56"/>
        <v>-1.7630425549395889</v>
      </c>
      <c r="L232" s="1">
        <f t="shared" si="57"/>
        <v>9.8294462057090318E-2</v>
      </c>
    </row>
    <row r="233" spans="1:12" x14ac:dyDescent="0.3">
      <c r="A233" s="1">
        <v>7.6655889999999998</v>
      </c>
      <c r="B233" s="1">
        <v>0.1807124</v>
      </c>
      <c r="C233" s="1">
        <v>-84.553330000000003</v>
      </c>
      <c r="D233" s="1">
        <v>15.406370000000001</v>
      </c>
      <c r="E233" s="1">
        <v>-66.608429999999998</v>
      </c>
      <c r="G233" s="1">
        <f t="shared" si="52"/>
        <v>-1.4757340020252971</v>
      </c>
      <c r="H233" s="1">
        <f t="shared" si="53"/>
        <v>0.26889188228047878</v>
      </c>
      <c r="I233" s="1">
        <f t="shared" si="54"/>
        <v>-1.1625364130841664</v>
      </c>
      <c r="J233" s="1">
        <f t="shared" si="55"/>
        <v>0.10890121232359391</v>
      </c>
      <c r="K233" s="1">
        <f t="shared" si="56"/>
        <v>-0.47082724729908743</v>
      </c>
      <c r="L233" s="1">
        <f t="shared" si="57"/>
        <v>2.9282651964317237E-2</v>
      </c>
    </row>
    <row r="234" spans="1:12" x14ac:dyDescent="0.3">
      <c r="A234" s="1">
        <v>7.6989219999999996</v>
      </c>
      <c r="B234" s="1">
        <v>0.22190119999999999</v>
      </c>
      <c r="C234" s="1">
        <v>-84.401179999999997</v>
      </c>
      <c r="D234" s="1">
        <v>18.914919999999999</v>
      </c>
      <c r="E234" s="1">
        <v>2.4585059999999999</v>
      </c>
      <c r="G234" s="1">
        <f t="shared" si="52"/>
        <v>-1.4730784835683877</v>
      </c>
      <c r="H234" s="1">
        <f t="shared" si="53"/>
        <v>0.33012763175132581</v>
      </c>
      <c r="I234" s="1">
        <f t="shared" si="54"/>
        <v>4.2909024380035708E-2</v>
      </c>
      <c r="J234" s="1">
        <f t="shared" si="55"/>
        <v>0.13370169085928696</v>
      </c>
      <c r="K234" s="1">
        <f t="shared" si="56"/>
        <v>1.7378154873914461E-2</v>
      </c>
      <c r="L234" s="1">
        <f t="shared" si="57"/>
        <v>4.4138622564524291E-2</v>
      </c>
    </row>
    <row r="235" spans="1:12" x14ac:dyDescent="0.3">
      <c r="A235" s="1">
        <v>7.732278</v>
      </c>
      <c r="B235" s="1">
        <v>0.26642250000000001</v>
      </c>
      <c r="C235" s="1">
        <v>-83.291910000000001</v>
      </c>
      <c r="D235" s="1">
        <v>22.71528</v>
      </c>
      <c r="E235" s="1">
        <v>42.703650000000003</v>
      </c>
      <c r="G235" s="1">
        <f t="shared" si="52"/>
        <v>-1.4537180697747902</v>
      </c>
      <c r="H235" s="1">
        <f t="shared" si="53"/>
        <v>0.39645642651241753</v>
      </c>
      <c r="I235" s="1">
        <f t="shared" si="54"/>
        <v>0.74531929511927664</v>
      </c>
      <c r="J235" s="1">
        <f t="shared" si="55"/>
        <v>0.1605648527375291</v>
      </c>
      <c r="K235" s="1">
        <f t="shared" si="56"/>
        <v>0.30185431452330708</v>
      </c>
      <c r="L235" s="1">
        <f t="shared" si="57"/>
        <v>6.3656967739813358E-2</v>
      </c>
    </row>
    <row r="236" spans="1:12" x14ac:dyDescent="0.3">
      <c r="A236" s="1">
        <v>7.7655890000000003</v>
      </c>
      <c r="B236" s="1">
        <v>0.19664690000000001</v>
      </c>
      <c r="C236" s="1">
        <v>-82.886830000000003</v>
      </c>
      <c r="D236" s="1">
        <v>16.138500000000001</v>
      </c>
      <c r="E236" s="1">
        <v>-80.650700000000001</v>
      </c>
      <c r="G236" s="1">
        <f t="shared" si="52"/>
        <v>-1.4466480900408116</v>
      </c>
      <c r="H236" s="1">
        <f t="shared" si="53"/>
        <v>0.28166996133310485</v>
      </c>
      <c r="I236" s="1">
        <f t="shared" si="54"/>
        <v>-1.4076202590381908</v>
      </c>
      <c r="J236" s="1">
        <f t="shared" si="55"/>
        <v>0.11407633433990746</v>
      </c>
      <c r="K236" s="1">
        <f t="shared" si="56"/>
        <v>-0.57008620491046735</v>
      </c>
      <c r="L236" s="1">
        <f t="shared" si="57"/>
        <v>3.213187668254408E-2</v>
      </c>
    </row>
    <row r="237" spans="1:12" x14ac:dyDescent="0.3">
      <c r="A237" s="1">
        <v>7.7989110000000004</v>
      </c>
      <c r="B237" s="1">
        <v>0.25977529999999999</v>
      </c>
      <c r="C237" s="1">
        <v>-82.216549999999998</v>
      </c>
      <c r="D237" s="1">
        <v>20.00789</v>
      </c>
      <c r="E237" s="1">
        <v>63.626049999999999</v>
      </c>
      <c r="G237" s="1">
        <f t="shared" si="52"/>
        <v>-1.4349494971305439</v>
      </c>
      <c r="H237" s="1">
        <f t="shared" si="53"/>
        <v>0.34920355687684823</v>
      </c>
      <c r="I237" s="1">
        <f t="shared" si="54"/>
        <v>1.1104840625385382</v>
      </c>
      <c r="J237" s="1">
        <f t="shared" si="55"/>
        <v>0.14142744053512354</v>
      </c>
      <c r="K237" s="1">
        <f t="shared" si="56"/>
        <v>0.44974604532810797</v>
      </c>
      <c r="L237" s="1">
        <f t="shared" si="57"/>
        <v>4.9386965274854082E-2</v>
      </c>
    </row>
    <row r="238" spans="1:12" x14ac:dyDescent="0.3">
      <c r="A238" s="1">
        <v>7.8322329999999996</v>
      </c>
      <c r="B238" s="1">
        <v>0.25973190000000002</v>
      </c>
      <c r="C238" s="1">
        <v>-81.553420000000003</v>
      </c>
      <c r="D238" s="1">
        <v>19.789169999999999</v>
      </c>
      <c r="E238" s="1">
        <v>-193.61689999999999</v>
      </c>
      <c r="G238" s="1">
        <f t="shared" si="52"/>
        <v>-1.4233756952617942</v>
      </c>
      <c r="H238" s="1">
        <f t="shared" si="53"/>
        <v>0.34538617273688627</v>
      </c>
      <c r="I238" s="1">
        <f t="shared" si="54"/>
        <v>-3.3792523925046085</v>
      </c>
      <c r="J238" s="1">
        <f t="shared" si="55"/>
        <v>0.13988139995843896</v>
      </c>
      <c r="K238" s="1">
        <f t="shared" si="56"/>
        <v>-1.3685972189643665</v>
      </c>
      <c r="L238" s="1">
        <f t="shared" si="57"/>
        <v>4.8313101368722869E-2</v>
      </c>
    </row>
    <row r="239" spans="1:12" x14ac:dyDescent="0.3">
      <c r="A239" s="1">
        <v>7.8655670000000004</v>
      </c>
      <c r="B239" s="1">
        <v>0.1190383</v>
      </c>
      <c r="C239" s="1">
        <v>-80.897490000000005</v>
      </c>
      <c r="D239" s="1">
        <v>8.6599280000000007</v>
      </c>
      <c r="E239" s="1">
        <v>-924.19749999999999</v>
      </c>
      <c r="G239" s="1">
        <f t="shared" si="52"/>
        <v>-1.4119275570991876</v>
      </c>
      <c r="H239" s="1">
        <f t="shared" si="53"/>
        <v>0.15114425658564751</v>
      </c>
      <c r="I239" s="1">
        <f t="shared" si="54"/>
        <v>-16.130289313700295</v>
      </c>
      <c r="J239" s="1">
        <f t="shared" si="55"/>
        <v>6.1213423917187246E-2</v>
      </c>
      <c r="K239" s="1">
        <f t="shared" si="56"/>
        <v>-6.5327671720486205</v>
      </c>
      <c r="L239" s="1">
        <f t="shared" si="57"/>
        <v>9.2520574510253605E-3</v>
      </c>
    </row>
    <row r="240" spans="1:12" x14ac:dyDescent="0.3">
      <c r="A240" s="1">
        <v>7.8988889999999996</v>
      </c>
      <c r="B240" s="1">
        <v>0.50118910000000005</v>
      </c>
      <c r="C240" s="1">
        <v>-80.976190000000003</v>
      </c>
      <c r="D240" s="1">
        <v>-39.623910000000002</v>
      </c>
      <c r="E240" s="1">
        <v>-486.19929999999999</v>
      </c>
      <c r="G240" s="1">
        <f t="shared" si="52"/>
        <v>-1.413301131220507</v>
      </c>
      <c r="H240" s="1">
        <f t="shared" si="53"/>
        <v>-0.69156769201390644</v>
      </c>
      <c r="I240" s="1">
        <f t="shared" si="54"/>
        <v>-8.4857786058916655</v>
      </c>
      <c r="J240" s="1">
        <f t="shared" si="55"/>
        <v>-0.28008491526563212</v>
      </c>
      <c r="K240" s="1">
        <f t="shared" si="56"/>
        <v>-3.4367403353861246</v>
      </c>
      <c r="L240" s="1">
        <f t="shared" si="57"/>
        <v>0.19369767841816377</v>
      </c>
    </row>
    <row r="241" spans="1:12" x14ac:dyDescent="0.3">
      <c r="A241" s="1">
        <v>7.9322220000000003</v>
      </c>
      <c r="B241" s="1">
        <v>0.48701549999999999</v>
      </c>
      <c r="C241" s="1">
        <v>-83.538650000000004</v>
      </c>
      <c r="D241" s="1">
        <v>-38.32835</v>
      </c>
      <c r="E241" s="1">
        <v>165.39109999999999</v>
      </c>
      <c r="G241" s="1">
        <f t="shared" si="52"/>
        <v>-1.4580244951711612</v>
      </c>
      <c r="H241" s="1">
        <f t="shared" si="53"/>
        <v>-0.66895590435676866</v>
      </c>
      <c r="I241" s="1">
        <f t="shared" si="54"/>
        <v>2.8866192484951934</v>
      </c>
      <c r="J241" s="1">
        <f t="shared" si="55"/>
        <v>-0.2709271412644913</v>
      </c>
      <c r="K241" s="1">
        <f t="shared" si="56"/>
        <v>1.1690807956405533</v>
      </c>
      <c r="L241" s="1">
        <f t="shared" si="57"/>
        <v>0.1812383107993818</v>
      </c>
    </row>
    <row r="242" spans="1:12" x14ac:dyDescent="0.3">
      <c r="A242" s="1">
        <v>7.9655440000000004</v>
      </c>
      <c r="B242" s="1">
        <v>0.12531909999999999</v>
      </c>
      <c r="C242" s="1">
        <v>-83.53098</v>
      </c>
      <c r="D242" s="1">
        <v>-10.698549999999999</v>
      </c>
      <c r="E242" s="1">
        <v>350.08019999999999</v>
      </c>
      <c r="G242" s="1">
        <f t="shared" si="52"/>
        <v>-1.4578906284175328</v>
      </c>
      <c r="H242" s="1">
        <f t="shared" si="53"/>
        <v>-0.18672492268923932</v>
      </c>
      <c r="I242" s="1">
        <f t="shared" si="54"/>
        <v>6.1100521360402533</v>
      </c>
      <c r="J242" s="1">
        <f t="shared" si="55"/>
        <v>-7.5623593689141927E-2</v>
      </c>
      <c r="K242" s="1">
        <f t="shared" si="56"/>
        <v>2.4745711150963028</v>
      </c>
      <c r="L242" s="1">
        <f t="shared" si="57"/>
        <v>1.4120809685087474E-2</v>
      </c>
    </row>
    <row r="243" spans="1:12" x14ac:dyDescent="0.3">
      <c r="A243" s="1">
        <v>7.9988780000000004</v>
      </c>
      <c r="B243" s="1">
        <v>0.27386559999999999</v>
      </c>
      <c r="C243" s="1">
        <v>-84.251769999999993</v>
      </c>
      <c r="D243" s="1">
        <v>-23.374659999999999</v>
      </c>
      <c r="E243" s="1">
        <v>-286.34129999999999</v>
      </c>
      <c r="G243" s="1">
        <f t="shared" si="52"/>
        <v>-1.470470787132983</v>
      </c>
      <c r="H243" s="1">
        <f t="shared" si="53"/>
        <v>-0.4079647785342177</v>
      </c>
      <c r="I243" s="1">
        <f t="shared" si="54"/>
        <v>-4.9975984694408391</v>
      </c>
      <c r="J243" s="1">
        <f t="shared" si="55"/>
        <v>-0.16522573530635817</v>
      </c>
      <c r="K243" s="1">
        <f t="shared" si="56"/>
        <v>-2.02402738012354</v>
      </c>
      <c r="L243" s="1">
        <f t="shared" si="57"/>
        <v>6.7406280512411695E-2</v>
      </c>
    </row>
    <row r="244" spans="1:12" x14ac:dyDescent="0.3">
      <c r="A244" s="1">
        <v>8.0321999999999996</v>
      </c>
      <c r="B244" s="1">
        <v>0.3311383</v>
      </c>
      <c r="C244" s="1">
        <v>-85.089029999999994</v>
      </c>
      <c r="D244" s="1">
        <v>-28.27281</v>
      </c>
      <c r="E244" s="1">
        <v>-111.35599999999999</v>
      </c>
      <c r="G244" s="1">
        <f t="shared" si="52"/>
        <v>-1.4850837308282305</v>
      </c>
      <c r="H244" s="1">
        <f t="shared" si="53"/>
        <v>-0.49345362329077802</v>
      </c>
      <c r="I244" s="1">
        <f t="shared" si="54"/>
        <v>-1.9435288418508057</v>
      </c>
      <c r="J244" s="1">
        <f t="shared" si="55"/>
        <v>-0.19984871743276511</v>
      </c>
      <c r="K244" s="1">
        <f t="shared" si="56"/>
        <v>-0.78712918094957629</v>
      </c>
      <c r="L244" s="1">
        <f t="shared" si="57"/>
        <v>9.8616073727212816E-2</v>
      </c>
    </row>
    <row r="245" spans="1:12" x14ac:dyDescent="0.3">
      <c r="A245" s="1">
        <v>8.0655330000000003</v>
      </c>
      <c r="B245" s="1">
        <v>0.36827369999999998</v>
      </c>
      <c r="C245" s="1">
        <v>-86.136300000000006</v>
      </c>
      <c r="D245" s="1">
        <v>-31.436299999999999</v>
      </c>
      <c r="E245" s="1">
        <v>-78.198560000000001</v>
      </c>
      <c r="G245" s="1">
        <f t="shared" si="52"/>
        <v>-1.5033620404855919</v>
      </c>
      <c r="H245" s="1">
        <f t="shared" si="53"/>
        <v>-0.54866693964469337</v>
      </c>
      <c r="I245" s="1">
        <f t="shared" si="54"/>
        <v>-1.364822342318337</v>
      </c>
      <c r="J245" s="1">
        <f t="shared" si="55"/>
        <v>-0.22221011055610082</v>
      </c>
      <c r="K245" s="1">
        <f t="shared" si="56"/>
        <v>-0.55275304863892649</v>
      </c>
      <c r="L245" s="1">
        <f t="shared" si="57"/>
        <v>0.12191934131692481</v>
      </c>
    </row>
    <row r="246" spans="1:12" x14ac:dyDescent="0.3">
      <c r="A246" s="1">
        <v>8.0988779999999991</v>
      </c>
      <c r="B246" s="1">
        <v>0.38467119999999999</v>
      </c>
      <c r="C246" s="1">
        <v>-87.185140000000004</v>
      </c>
      <c r="D246" s="1">
        <v>-32.84534</v>
      </c>
      <c r="E246" s="1">
        <v>-43.004040000000003</v>
      </c>
      <c r="G246" s="1">
        <f t="shared" si="52"/>
        <v>-1.5216677518122088</v>
      </c>
      <c r="H246" s="1">
        <f t="shared" si="53"/>
        <v>-0.57325932693699433</v>
      </c>
      <c r="I246" s="1">
        <f t="shared" si="54"/>
        <v>-0.75056208965934224</v>
      </c>
      <c r="J246" s="1">
        <f t="shared" si="55"/>
        <v>-0.23217002740948273</v>
      </c>
      <c r="K246" s="1">
        <f t="shared" si="56"/>
        <v>-0.30397764631203361</v>
      </c>
      <c r="L246" s="1">
        <f t="shared" si="57"/>
        <v>0.13309363364770357</v>
      </c>
    </row>
    <row r="247" spans="1:12" x14ac:dyDescent="0.3">
      <c r="A247" s="1">
        <v>8.1321890000000003</v>
      </c>
      <c r="B247" s="1">
        <v>0.40567589999999998</v>
      </c>
      <c r="C247" s="1">
        <v>-88.325630000000004</v>
      </c>
      <c r="D247" s="1">
        <v>-34.632629999999999</v>
      </c>
      <c r="E247" s="1">
        <v>-36.633150000000001</v>
      </c>
      <c r="G247" s="1">
        <f t="shared" si="52"/>
        <v>-1.5415730573982791</v>
      </c>
      <c r="H247" s="1">
        <f t="shared" si="53"/>
        <v>-0.60445342212496378</v>
      </c>
      <c r="I247" s="1">
        <f t="shared" si="54"/>
        <v>-0.6393690828769607</v>
      </c>
      <c r="J247" s="1">
        <f t="shared" si="55"/>
        <v>-0.24480363596061036</v>
      </c>
      <c r="K247" s="1">
        <f t="shared" si="56"/>
        <v>-0.25894447856516911</v>
      </c>
      <c r="L247" s="1">
        <f t="shared" si="57"/>
        <v>0.14797239550502478</v>
      </c>
    </row>
    <row r="248" spans="1:12" x14ac:dyDescent="0.3">
      <c r="A248" s="1">
        <v>8.1655560000000005</v>
      </c>
      <c r="B248" s="1">
        <v>0.41207050000000001</v>
      </c>
      <c r="C248" s="1">
        <v>-89.49436</v>
      </c>
      <c r="D248" s="1">
        <v>-35.18826</v>
      </c>
      <c r="E248" s="1">
        <v>12.17526</v>
      </c>
      <c r="G248" s="1">
        <f t="shared" si="52"/>
        <v>-1.5619712439651123</v>
      </c>
      <c r="H248" s="1">
        <f t="shared" si="53"/>
        <v>-0.61415099504781978</v>
      </c>
      <c r="I248" s="1">
        <f t="shared" si="54"/>
        <v>0.21249837428636478</v>
      </c>
      <c r="J248" s="1">
        <f t="shared" si="55"/>
        <v>-0.24873115299436702</v>
      </c>
      <c r="K248" s="1">
        <f t="shared" si="56"/>
        <v>8.6061841585977739E-2</v>
      </c>
      <c r="L248" s="1">
        <f t="shared" si="57"/>
        <v>0.15275848511088203</v>
      </c>
    </row>
    <row r="249" spans="1:12" x14ac:dyDescent="0.3">
      <c r="A249" s="1">
        <v>8.1988559999999993</v>
      </c>
      <c r="B249" s="1">
        <v>0.39819670000000001</v>
      </c>
      <c r="C249" s="1">
        <v>-90.671509999999998</v>
      </c>
      <c r="D249" s="1">
        <v>-34.00853</v>
      </c>
      <c r="E249" s="1">
        <v>28.57471</v>
      </c>
      <c r="G249" s="1">
        <f t="shared" si="52"/>
        <v>-1.5825163872549637</v>
      </c>
      <c r="H249" s="1">
        <f t="shared" si="53"/>
        <v>-0.59356082226326723</v>
      </c>
      <c r="I249" s="1">
        <f t="shared" si="54"/>
        <v>0.49872277230254886</v>
      </c>
      <c r="J249" s="1">
        <f t="shared" si="55"/>
        <v>-0.24039213301662324</v>
      </c>
      <c r="K249" s="1">
        <f t="shared" si="56"/>
        <v>0.20198272278253229</v>
      </c>
      <c r="L249" s="1">
        <f t="shared" si="57"/>
        <v>0.1426873521389676</v>
      </c>
    </row>
    <row r="250" spans="1:12" x14ac:dyDescent="0.3">
      <c r="A250" s="1">
        <v>8.232189</v>
      </c>
      <c r="B250" s="1">
        <v>0.3847295</v>
      </c>
      <c r="C250" s="1">
        <v>-91.760469999999998</v>
      </c>
      <c r="D250" s="1">
        <v>-32.859920000000002</v>
      </c>
      <c r="E250" s="1">
        <v>52.307250000000003</v>
      </c>
      <c r="G250" s="1">
        <f t="shared" si="52"/>
        <v>-1.6015223246774812</v>
      </c>
      <c r="H250" s="1">
        <f t="shared" si="53"/>
        <v>-0.57351379594193519</v>
      </c>
      <c r="I250" s="1">
        <f t="shared" si="54"/>
        <v>0.91293373516380394</v>
      </c>
      <c r="J250" s="1">
        <f t="shared" si="55"/>
        <v>-0.23227308735648378</v>
      </c>
      <c r="K250" s="1">
        <f t="shared" si="56"/>
        <v>0.36973816274134064</v>
      </c>
      <c r="L250" s="1">
        <f t="shared" si="57"/>
        <v>0.1332118200249697</v>
      </c>
    </row>
    <row r="251" spans="1:12" x14ac:dyDescent="0.3">
      <c r="A251" s="1">
        <v>8.2655220000000007</v>
      </c>
      <c r="B251" s="1">
        <v>0.36355900000000002</v>
      </c>
      <c r="C251" s="1">
        <v>-92.862170000000006</v>
      </c>
      <c r="D251" s="1">
        <v>-31.048839999999998</v>
      </c>
      <c r="E251" s="1">
        <v>74.340119999999999</v>
      </c>
      <c r="G251" s="1">
        <f t="shared" si="52"/>
        <v>-1.620750617046703</v>
      </c>
      <c r="H251" s="1">
        <f t="shared" si="53"/>
        <v>-0.54190448692491611</v>
      </c>
      <c r="I251" s="1">
        <f t="shared" si="54"/>
        <v>1.2974798603276869</v>
      </c>
      <c r="J251" s="1">
        <f t="shared" si="55"/>
        <v>-0.21947131720459104</v>
      </c>
      <c r="K251" s="1">
        <f t="shared" si="56"/>
        <v>0.52547934343271319</v>
      </c>
      <c r="L251" s="1">
        <f t="shared" si="57"/>
        <v>0.11893249154448943</v>
      </c>
    </row>
    <row r="252" spans="1:12" x14ac:dyDescent="0.3">
      <c r="A252" s="1">
        <v>8.2988330000000001</v>
      </c>
      <c r="B252" s="1">
        <v>0.32231349999999998</v>
      </c>
      <c r="C252" s="1">
        <v>-93.829700000000003</v>
      </c>
      <c r="D252" s="1">
        <v>-27.527640000000002</v>
      </c>
      <c r="E252" s="1">
        <v>120.5022</v>
      </c>
      <c r="G252" s="1">
        <f t="shared" si="52"/>
        <v>-1.6376372011585236</v>
      </c>
      <c r="H252" s="1">
        <f t="shared" si="53"/>
        <v>-0.48044795330369189</v>
      </c>
      <c r="I252" s="1">
        <f t="shared" si="54"/>
        <v>2.1031601458967111</v>
      </c>
      <c r="J252" s="1">
        <f t="shared" si="55"/>
        <v>-0.19458142108799523</v>
      </c>
      <c r="K252" s="1">
        <f t="shared" si="56"/>
        <v>0.851779859088168</v>
      </c>
      <c r="L252" s="1">
        <f t="shared" si="57"/>
        <v>9.3486245512651139E-2</v>
      </c>
    </row>
    <row r="253" spans="1:12" x14ac:dyDescent="0.3">
      <c r="A253" s="1">
        <v>8.3321670000000001</v>
      </c>
      <c r="B253" s="1">
        <v>0.2723447</v>
      </c>
      <c r="C253" s="1">
        <v>-94.696740000000005</v>
      </c>
      <c r="D253" s="1">
        <v>-23.257919999999999</v>
      </c>
      <c r="E253" s="1">
        <v>256.5301</v>
      </c>
      <c r="G253" s="1">
        <f t="shared" si="52"/>
        <v>-1.652769903905015</v>
      </c>
      <c r="H253" s="1">
        <f t="shared" si="53"/>
        <v>-0.40592728116543952</v>
      </c>
      <c r="I253" s="1">
        <f t="shared" si="54"/>
        <v>4.4772948754703057</v>
      </c>
      <c r="J253" s="1">
        <f t="shared" si="55"/>
        <v>-0.16440054887200301</v>
      </c>
      <c r="K253" s="1">
        <f t="shared" si="56"/>
        <v>1.8133044245654739</v>
      </c>
      <c r="L253" s="1">
        <f t="shared" si="57"/>
        <v>6.6734667825718144E-2</v>
      </c>
    </row>
    <row r="254" spans="1:12" x14ac:dyDescent="0.3">
      <c r="A254" s="1">
        <v>8.3655000000000008</v>
      </c>
      <c r="B254" s="1">
        <v>0.13098480000000001</v>
      </c>
      <c r="C254" s="1">
        <v>-95.380229999999997</v>
      </c>
      <c r="D254" s="1">
        <v>-11.186909999999999</v>
      </c>
      <c r="E254" s="1">
        <v>163.7353</v>
      </c>
      <c r="G254" s="1">
        <f t="shared" si="52"/>
        <v>-1.6646990548094711</v>
      </c>
      <c r="H254" s="1">
        <f t="shared" si="53"/>
        <v>-0.19524841262427881</v>
      </c>
      <c r="I254" s="1">
        <f t="shared" si="54"/>
        <v>2.8577200867406716</v>
      </c>
      <c r="J254" s="1">
        <f t="shared" si="55"/>
        <v>-7.9075607112832916E-2</v>
      </c>
      <c r="K254" s="1">
        <f t="shared" si="56"/>
        <v>1.1573766351299721</v>
      </c>
      <c r="L254" s="1">
        <f t="shared" si="57"/>
        <v>1.5439386766081758E-2</v>
      </c>
    </row>
    <row r="255" spans="1:12" x14ac:dyDescent="0.3">
      <c r="A255" s="1">
        <v>8.3988219999999991</v>
      </c>
      <c r="B255" s="1">
        <v>0.1058229</v>
      </c>
      <c r="C255" s="1">
        <v>-95.442409999999995</v>
      </c>
      <c r="D255" s="1">
        <v>-9.0283239999999996</v>
      </c>
      <c r="E255" s="1">
        <v>120.4906</v>
      </c>
      <c r="G255" s="1">
        <f t="shared" si="52"/>
        <v>-1.665784300538361</v>
      </c>
      <c r="H255" s="1">
        <f t="shared" si="53"/>
        <v>-0.15757397973682452</v>
      </c>
      <c r="I255" s="1">
        <f t="shared" si="54"/>
        <v>2.1029576877034795</v>
      </c>
      <c r="J255" s="1">
        <f t="shared" si="55"/>
        <v>-6.3817461793413938E-2</v>
      </c>
      <c r="K255" s="1">
        <f t="shared" si="56"/>
        <v>0.85169786351990928</v>
      </c>
      <c r="L255" s="1">
        <f t="shared" si="57"/>
        <v>1.005597143149098E-2</v>
      </c>
    </row>
    <row r="256" spans="1:12" x14ac:dyDescent="0.3">
      <c r="A256" s="1">
        <v>8.4322330000000001</v>
      </c>
      <c r="B256" s="1">
        <v>9.071543E-2</v>
      </c>
      <c r="C256" s="1">
        <v>-95.98272</v>
      </c>
      <c r="D256" s="1">
        <v>-7.7435359999999998</v>
      </c>
      <c r="E256" s="1">
        <v>90.856430000000003</v>
      </c>
      <c r="G256" s="1">
        <f t="shared" si="52"/>
        <v>-1.6752144890198117</v>
      </c>
      <c r="H256" s="1">
        <f t="shared" si="53"/>
        <v>-0.13515019894671162</v>
      </c>
      <c r="I256" s="1">
        <f t="shared" si="54"/>
        <v>1.5857438501077514</v>
      </c>
      <c r="J256" s="1">
        <f t="shared" si="55"/>
        <v>-5.4735830573418215E-2</v>
      </c>
      <c r="K256" s="1">
        <f t="shared" si="56"/>
        <v>0.64222625929363941</v>
      </c>
      <c r="L256" s="1">
        <f t="shared" si="57"/>
        <v>7.3975583915109723E-3</v>
      </c>
    </row>
    <row r="257" spans="1:12" x14ac:dyDescent="0.3">
      <c r="A257" s="1">
        <v>8.4654889999999998</v>
      </c>
      <c r="B257" s="1">
        <v>5.8186949999999996E-3</v>
      </c>
      <c r="C257" s="1">
        <v>-95.958640000000003</v>
      </c>
      <c r="D257" s="1">
        <v>0.49515229999999999</v>
      </c>
      <c r="E257" s="1">
        <v>147.65289999999999</v>
      </c>
      <c r="G257" s="1">
        <f t="shared" si="52"/>
        <v>-1.6747942137359315</v>
      </c>
      <c r="H257" s="1">
        <f t="shared" si="53"/>
        <v>8.6420379338227171E-3</v>
      </c>
      <c r="I257" s="1">
        <f t="shared" si="54"/>
        <v>2.5770292551179352</v>
      </c>
      <c r="J257" s="1">
        <f t="shared" si="55"/>
        <v>3.5000253631982006E-3</v>
      </c>
      <c r="K257" s="1">
        <f t="shared" si="56"/>
        <v>1.0436968483227638</v>
      </c>
      <c r="L257" s="1">
        <f t="shared" si="57"/>
        <v>3.0247351958100485E-5</v>
      </c>
    </row>
    <row r="258" spans="1:12" x14ac:dyDescent="0.3">
      <c r="A258" s="1">
        <v>8.4988220000000005</v>
      </c>
      <c r="B258" s="1">
        <v>9.2089200000000006E-3</v>
      </c>
      <c r="C258" s="1">
        <v>-95.949740000000006</v>
      </c>
      <c r="D258" s="1">
        <v>0.753135</v>
      </c>
      <c r="E258" s="1">
        <v>0.41237089999999998</v>
      </c>
      <c r="G258" s="1">
        <f t="shared" si="52"/>
        <v>-1.674638879432504</v>
      </c>
      <c r="H258" s="1">
        <f t="shared" si="53"/>
        <v>1.3144685462007493E-2</v>
      </c>
      <c r="I258" s="1">
        <f t="shared" si="54"/>
        <v>7.1972299444122839E-3</v>
      </c>
      <c r="J258" s="1">
        <f t="shared" si="55"/>
        <v>5.323597612113035E-3</v>
      </c>
      <c r="K258" s="1">
        <f t="shared" si="56"/>
        <v>2.9148781274869751E-3</v>
      </c>
      <c r="L258" s="1">
        <f t="shared" si="57"/>
        <v>6.9977016137520015E-5</v>
      </c>
    </row>
    <row r="259" spans="1:12" x14ac:dyDescent="0.3">
      <c r="A259" s="1">
        <v>8.532133</v>
      </c>
      <c r="B259" s="1">
        <v>8.9938369999999993E-3</v>
      </c>
      <c r="C259" s="1">
        <v>-95.908450000000002</v>
      </c>
      <c r="D259" s="1">
        <v>0.76192190000000004</v>
      </c>
      <c r="E259" s="1">
        <v>-17.780110000000001</v>
      </c>
      <c r="G259" s="1">
        <f t="shared" si="52"/>
        <v>-1.6739182329843556</v>
      </c>
      <c r="H259" s="1">
        <f t="shared" si="53"/>
        <v>1.3298045798050984E-2</v>
      </c>
      <c r="I259" s="1">
        <f t="shared" si="54"/>
        <v>-0.31032146086676898</v>
      </c>
      <c r="J259" s="1">
        <f t="shared" si="55"/>
        <v>5.3857085482106491E-3</v>
      </c>
      <c r="K259" s="1">
        <f t="shared" si="56"/>
        <v>-0.12568019165104144</v>
      </c>
      <c r="L259" s="1">
        <f t="shared" si="57"/>
        <v>7.1619398929059891E-5</v>
      </c>
    </row>
    <row r="260" spans="1:12" x14ac:dyDescent="0.3">
      <c r="A260" s="1">
        <v>8.5654559999999993</v>
      </c>
      <c r="B260" s="1">
        <v>6.27751E-3</v>
      </c>
      <c r="C260" s="1">
        <v>-95.898979999999995</v>
      </c>
      <c r="D260" s="1">
        <v>-0.52273800000000004</v>
      </c>
      <c r="E260" s="1">
        <v>115.5625</v>
      </c>
      <c r="G260" s="1">
        <f t="shared" ref="G260:G323" si="58">C260 * PI() / 180</f>
        <v>-1.6737529503041915</v>
      </c>
      <c r="H260" s="1">
        <f t="shared" ref="H260:H323" si="59">D260 * PI() / 180</f>
        <v>-9.1234992252901184E-3</v>
      </c>
      <c r="I260" s="1">
        <f t="shared" ref="I260:I323" si="60">E260 * PI() / 180</f>
        <v>2.016946116835947</v>
      </c>
      <c r="J260" s="1">
        <f t="shared" ref="J260:J323" si="61">(0.405*H260)</f>
        <v>-3.6950171862424981E-3</v>
      </c>
      <c r="K260" s="1">
        <f t="shared" ref="K260:K323" si="62">(0.405*I260)</f>
        <v>0.81686317731855862</v>
      </c>
      <c r="L260" s="1">
        <f t="shared" ref="L260:L323" si="63">(0.405*(H260^2))</f>
        <v>3.3711486436117104E-5</v>
      </c>
    </row>
    <row r="261" spans="1:12" x14ac:dyDescent="0.3">
      <c r="A261" s="1">
        <v>8.5988220000000002</v>
      </c>
      <c r="B261" s="1">
        <v>8.3521570000000003E-2</v>
      </c>
      <c r="C261" s="1">
        <v>-95.943309999999997</v>
      </c>
      <c r="D261" s="1">
        <v>7.0957119999999998</v>
      </c>
      <c r="E261" s="1">
        <v>101.3002</v>
      </c>
      <c r="G261" s="1">
        <f t="shared" si="58"/>
        <v>-1.6745266547616007</v>
      </c>
      <c r="H261" s="1">
        <f t="shared" si="59"/>
        <v>0.12384353717327187</v>
      </c>
      <c r="I261" s="1">
        <f t="shared" si="60"/>
        <v>1.7680220229287598</v>
      </c>
      <c r="J261" s="1">
        <f t="shared" si="61"/>
        <v>5.0156632555175114E-2</v>
      </c>
      <c r="K261" s="1">
        <f t="shared" si="62"/>
        <v>0.71604891928614778</v>
      </c>
      <c r="L261" s="1">
        <f t="shared" si="63"/>
        <v>6.2115747883329667E-3</v>
      </c>
    </row>
    <row r="262" spans="1:12" x14ac:dyDescent="0.3">
      <c r="A262" s="1">
        <v>8.6321220000000007</v>
      </c>
      <c r="B262" s="1">
        <v>0.1128527</v>
      </c>
      <c r="C262" s="1">
        <v>-95.425929999999994</v>
      </c>
      <c r="D262" s="1">
        <v>9.6029990000000005</v>
      </c>
      <c r="E262" s="1">
        <v>213.2749</v>
      </c>
      <c r="G262" s="1">
        <f t="shared" si="58"/>
        <v>-1.6654966702776322</v>
      </c>
      <c r="H262" s="1">
        <f t="shared" si="59"/>
        <v>0.16760395061572295</v>
      </c>
      <c r="I262" s="1">
        <f t="shared" si="60"/>
        <v>3.7223492168616543</v>
      </c>
      <c r="J262" s="1">
        <f t="shared" si="61"/>
        <v>6.7879599999367796E-2</v>
      </c>
      <c r="K262" s="1">
        <f t="shared" si="62"/>
        <v>1.5075514328289701</v>
      </c>
      <c r="L262" s="1">
        <f t="shared" si="63"/>
        <v>1.1376889126109067E-2</v>
      </c>
    </row>
    <row r="263" spans="1:12" x14ac:dyDescent="0.3">
      <c r="A263" s="1">
        <v>8.6654560000000007</v>
      </c>
      <c r="B263" s="1">
        <v>0.19402440000000001</v>
      </c>
      <c r="C263" s="1">
        <v>-95.303430000000006</v>
      </c>
      <c r="D263" s="1">
        <v>16.575769999999999</v>
      </c>
      <c r="E263" s="1">
        <v>253.55080000000001</v>
      </c>
      <c r="G263" s="1">
        <f t="shared" si="58"/>
        <v>-1.6633586419439395</v>
      </c>
      <c r="H263" s="1">
        <f t="shared" si="59"/>
        <v>0.28930176255330048</v>
      </c>
      <c r="I263" s="1">
        <f t="shared" si="60"/>
        <v>4.4252962810656387</v>
      </c>
      <c r="J263" s="1">
        <f t="shared" si="61"/>
        <v>0.11716721383408669</v>
      </c>
      <c r="K263" s="1">
        <f t="shared" si="62"/>
        <v>1.7922449938315839</v>
      </c>
      <c r="L263" s="1">
        <f t="shared" si="63"/>
        <v>3.3896681475660731E-2</v>
      </c>
    </row>
    <row r="264" spans="1:12" x14ac:dyDescent="0.3">
      <c r="A264" s="1">
        <v>8.6987780000000008</v>
      </c>
      <c r="B264" s="1">
        <v>0.36086970000000002</v>
      </c>
      <c r="C264" s="1">
        <v>-94.321060000000003</v>
      </c>
      <c r="D264" s="1">
        <v>30.833020000000001</v>
      </c>
      <c r="E264" s="1">
        <v>268.11160000000001</v>
      </c>
      <c r="G264" s="1">
        <f t="shared" si="58"/>
        <v>-1.6462130509711228</v>
      </c>
      <c r="H264" s="1">
        <f t="shared" si="59"/>
        <v>0.53813771733326199</v>
      </c>
      <c r="I264" s="1">
        <f t="shared" si="60"/>
        <v>4.6794301827900284</v>
      </c>
      <c r="J264" s="1">
        <f t="shared" si="61"/>
        <v>0.21794577551997113</v>
      </c>
      <c r="K264" s="1">
        <f t="shared" si="62"/>
        <v>1.8951692240299616</v>
      </c>
      <c r="L264" s="1">
        <f t="shared" si="63"/>
        <v>0.11728484214074478</v>
      </c>
    </row>
    <row r="265" spans="1:12" x14ac:dyDescent="0.3">
      <c r="A265" s="1">
        <v>8.7321109999999997</v>
      </c>
      <c r="B265" s="1">
        <v>0.3849938</v>
      </c>
      <c r="C265" s="1">
        <v>-93.248239999999996</v>
      </c>
      <c r="D265" s="1">
        <v>32.888599999999997</v>
      </c>
      <c r="E265" s="1">
        <v>34.8765</v>
      </c>
      <c r="G265" s="1">
        <f t="shared" si="58"/>
        <v>-1.627488809689877</v>
      </c>
      <c r="H265" s="1">
        <f t="shared" si="59"/>
        <v>0.57401435637140696</v>
      </c>
      <c r="I265" s="1">
        <f t="shared" si="60"/>
        <v>0.60870975657180237</v>
      </c>
      <c r="J265" s="1">
        <f t="shared" si="61"/>
        <v>0.23247581433041983</v>
      </c>
      <c r="K265" s="1">
        <f t="shared" si="62"/>
        <v>0.24652745141157997</v>
      </c>
      <c r="L265" s="1">
        <f t="shared" si="63"/>
        <v>0.13344445493479465</v>
      </c>
    </row>
    <row r="266" spans="1:12" x14ac:dyDescent="0.3">
      <c r="A266" s="1">
        <v>8.7654440000000005</v>
      </c>
      <c r="B266" s="1">
        <v>0.3888066</v>
      </c>
      <c r="C266" s="1">
        <v>-92.128489999999999</v>
      </c>
      <c r="D266" s="1">
        <v>33.213999999999999</v>
      </c>
      <c r="E266" s="1">
        <v>9.3533240000000006</v>
      </c>
      <c r="G266" s="1">
        <f t="shared" si="58"/>
        <v>-1.6079454853906705</v>
      </c>
      <c r="H266" s="1">
        <f t="shared" si="59"/>
        <v>0.57969365775739656</v>
      </c>
      <c r="I266" s="1">
        <f t="shared" si="60"/>
        <v>0.16324629980580613</v>
      </c>
      <c r="J266" s="1">
        <f t="shared" si="61"/>
        <v>0.23477593139174563</v>
      </c>
      <c r="K266" s="1">
        <f t="shared" si="62"/>
        <v>6.6114751421351481E-2</v>
      </c>
      <c r="L266" s="1">
        <f t="shared" si="63"/>
        <v>0.1360981184218806</v>
      </c>
    </row>
    <row r="267" spans="1:12" x14ac:dyDescent="0.3">
      <c r="A267" s="1">
        <v>8.7987780000000004</v>
      </c>
      <c r="B267" s="1">
        <v>0.38924530000000002</v>
      </c>
      <c r="C267" s="1">
        <v>-91.033969999999997</v>
      </c>
      <c r="D267" s="1">
        <v>33.250360000000001</v>
      </c>
      <c r="E267" s="1">
        <v>-3.1874189999999998</v>
      </c>
      <c r="G267" s="1">
        <f t="shared" si="58"/>
        <v>-1.5888425076617421</v>
      </c>
      <c r="H267" s="1">
        <f t="shared" si="59"/>
        <v>0.5803282594734217</v>
      </c>
      <c r="I267" s="1">
        <f t="shared" si="60"/>
        <v>-5.5630956190625129E-2</v>
      </c>
      <c r="J267" s="1">
        <f t="shared" si="61"/>
        <v>0.23503294508673581</v>
      </c>
      <c r="K267" s="1">
        <f t="shared" si="62"/>
        <v>-2.2530537257203179E-2</v>
      </c>
      <c r="L267" s="1">
        <f t="shared" si="63"/>
        <v>0.13639625994109769</v>
      </c>
    </row>
    <row r="268" spans="1:12" x14ac:dyDescent="0.3">
      <c r="A268" s="1">
        <v>8.8321000000000005</v>
      </c>
      <c r="B268" s="1">
        <v>0.38896069999999999</v>
      </c>
      <c r="C268" s="1">
        <v>-89.912170000000003</v>
      </c>
      <c r="D268" s="1">
        <v>33.227209999999999</v>
      </c>
      <c r="E268" s="1">
        <v>-7.6907180000000004</v>
      </c>
      <c r="G268" s="1">
        <f t="shared" si="58"/>
        <v>-1.5692634041128701</v>
      </c>
      <c r="H268" s="1">
        <f t="shared" si="59"/>
        <v>0.57992421575158504</v>
      </c>
      <c r="I268" s="1">
        <f t="shared" si="60"/>
        <v>-0.13422835094239327</v>
      </c>
      <c r="J268" s="1">
        <f t="shared" si="61"/>
        <v>0.23486930737939196</v>
      </c>
      <c r="K268" s="1">
        <f t="shared" si="62"/>
        <v>-5.4362482131669276E-2</v>
      </c>
      <c r="L268" s="1">
        <f t="shared" si="63"/>
        <v>0.13620639888611183</v>
      </c>
    </row>
    <row r="269" spans="1:12" x14ac:dyDescent="0.3">
      <c r="A269" s="1">
        <v>8.865456</v>
      </c>
      <c r="B269" s="1">
        <v>0.38155860000000003</v>
      </c>
      <c r="C269" s="1">
        <v>-88.818460000000002</v>
      </c>
      <c r="D269" s="1">
        <v>32.591030000000003</v>
      </c>
      <c r="E269" s="1">
        <v>-40.697850000000003</v>
      </c>
      <c r="G269" s="1">
        <f t="shared" si="58"/>
        <v>-1.5501745635508828</v>
      </c>
      <c r="H269" s="1">
        <f t="shared" si="59"/>
        <v>0.56882078011624759</v>
      </c>
      <c r="I269" s="1">
        <f t="shared" si="60"/>
        <v>-0.7103114809827743</v>
      </c>
      <c r="J269" s="1">
        <f t="shared" si="61"/>
        <v>0.2303724159470803</v>
      </c>
      <c r="K269" s="1">
        <f t="shared" si="62"/>
        <v>-0.28767614979802358</v>
      </c>
      <c r="L269" s="1">
        <f t="shared" si="63"/>
        <v>0.13104061735628289</v>
      </c>
    </row>
    <row r="270" spans="1:12" x14ac:dyDescent="0.3">
      <c r="A270" s="1">
        <v>8.8987560000000006</v>
      </c>
      <c r="B270" s="1">
        <v>0.36017270000000001</v>
      </c>
      <c r="C270" s="1">
        <v>-87.739789999999999</v>
      </c>
      <c r="D270" s="1">
        <v>30.767579999999999</v>
      </c>
      <c r="E270" s="1">
        <v>-76.393770000000004</v>
      </c>
      <c r="G270" s="1">
        <f t="shared" si="58"/>
        <v>-1.5313482205083955</v>
      </c>
      <c r="H270" s="1">
        <f t="shared" si="59"/>
        <v>0.53699557387075691</v>
      </c>
      <c r="I270" s="1">
        <f t="shared" si="60"/>
        <v>-1.3333228145112686</v>
      </c>
      <c r="J270" s="1">
        <f t="shared" si="61"/>
        <v>0.21748320741765656</v>
      </c>
      <c r="K270" s="1">
        <f t="shared" si="62"/>
        <v>-0.53999573987706384</v>
      </c>
      <c r="L270" s="1">
        <f t="shared" si="63"/>
        <v>0.11678751977449733</v>
      </c>
    </row>
    <row r="271" spans="1:12" x14ac:dyDescent="0.3">
      <c r="A271" s="1">
        <v>8.9320780000000006</v>
      </c>
      <c r="B271" s="1">
        <v>0.31996340000000001</v>
      </c>
      <c r="C271" s="1">
        <v>-86.768649999999994</v>
      </c>
      <c r="D271" s="1">
        <v>27.328900000000001</v>
      </c>
      <c r="E271" s="1">
        <v>-91.708020000000005</v>
      </c>
      <c r="G271" s="1">
        <f t="shared" si="58"/>
        <v>-1.5143986300105776</v>
      </c>
      <c r="H271" s="1">
        <f t="shared" si="59"/>
        <v>0.47697928594827838</v>
      </c>
      <c r="I271" s="1">
        <f t="shared" si="60"/>
        <v>-1.6006068994848102</v>
      </c>
      <c r="J271" s="1">
        <f t="shared" si="61"/>
        <v>0.19317661080905277</v>
      </c>
      <c r="K271" s="1">
        <f t="shared" si="62"/>
        <v>-0.64824579429134821</v>
      </c>
      <c r="L271" s="1">
        <f t="shared" si="63"/>
        <v>9.2141241885610459E-2</v>
      </c>
    </row>
    <row r="272" spans="1:12" x14ac:dyDescent="0.3">
      <c r="A272" s="1">
        <v>8.9654109999999996</v>
      </c>
      <c r="B272" s="1">
        <v>0.28682940000000001</v>
      </c>
      <c r="C272" s="1">
        <v>-85.918170000000003</v>
      </c>
      <c r="D272" s="1">
        <v>24.501049999999999</v>
      </c>
      <c r="E272" s="1">
        <v>-103.5809</v>
      </c>
      <c r="G272" s="1">
        <f t="shared" si="58"/>
        <v>-1.4995549537882167</v>
      </c>
      <c r="H272" s="1">
        <f t="shared" si="59"/>
        <v>0.42762399269575668</v>
      </c>
      <c r="I272" s="1">
        <f t="shared" si="60"/>
        <v>-1.8078277471789943</v>
      </c>
      <c r="J272" s="1">
        <f t="shared" si="61"/>
        <v>0.17318771704178146</v>
      </c>
      <c r="K272" s="1">
        <f t="shared" si="62"/>
        <v>-0.73217023760749278</v>
      </c>
      <c r="L272" s="1">
        <f t="shared" si="63"/>
        <v>7.4059223047269529E-2</v>
      </c>
    </row>
    <row r="273" spans="1:12" x14ac:dyDescent="0.3">
      <c r="A273" s="1">
        <v>8.9987329999999996</v>
      </c>
      <c r="B273" s="1">
        <v>0.24312149999999999</v>
      </c>
      <c r="C273" s="1">
        <v>-85.13552</v>
      </c>
      <c r="D273" s="1">
        <v>20.765429999999999</v>
      </c>
      <c r="E273" s="1">
        <v>-240.9307</v>
      </c>
      <c r="G273" s="1">
        <f t="shared" si="58"/>
        <v>-1.4858951343974829</v>
      </c>
      <c r="H273" s="1">
        <f t="shared" si="59"/>
        <v>0.36242512409240601</v>
      </c>
      <c r="I273" s="1">
        <f t="shared" si="60"/>
        <v>-4.205033984134702</v>
      </c>
      <c r="J273" s="1">
        <f t="shared" si="61"/>
        <v>0.14678217525742446</v>
      </c>
      <c r="K273" s="1">
        <f t="shared" si="62"/>
        <v>-1.7030387635745543</v>
      </c>
      <c r="L273" s="1">
        <f t="shared" si="63"/>
        <v>5.3197548082225342E-2</v>
      </c>
    </row>
    <row r="274" spans="1:12" x14ac:dyDescent="0.3">
      <c r="A274" s="1">
        <v>9.0320999999999998</v>
      </c>
      <c r="B274" s="1">
        <v>0.1064542</v>
      </c>
      <c r="C274" s="1">
        <v>-84.533349999999999</v>
      </c>
      <c r="D274" s="1">
        <v>9.0914730000000006</v>
      </c>
      <c r="E274" s="1">
        <v>-277.20800000000003</v>
      </c>
      <c r="G274" s="1">
        <f t="shared" si="58"/>
        <v>-1.4753852852407485</v>
      </c>
      <c r="H274" s="1">
        <f t="shared" si="59"/>
        <v>0.15867613770616645</v>
      </c>
      <c r="I274" s="1">
        <f t="shared" si="60"/>
        <v>-4.8381923128684416</v>
      </c>
      <c r="J274" s="1">
        <f t="shared" si="61"/>
        <v>6.4263835770997424E-2</v>
      </c>
      <c r="K274" s="1">
        <f t="shared" si="62"/>
        <v>-1.959467886711719</v>
      </c>
      <c r="L274" s="1">
        <f t="shared" si="63"/>
        <v>1.0197137254325252E-2</v>
      </c>
    </row>
    <row r="275" spans="1:12" x14ac:dyDescent="0.3">
      <c r="A275" s="1">
        <v>9.0654000000000003</v>
      </c>
      <c r="B275" s="1">
        <v>1.3852599999999999E-3</v>
      </c>
      <c r="C275" s="1">
        <v>-84.529420000000002</v>
      </c>
      <c r="D275" s="1">
        <v>0.1177383</v>
      </c>
      <c r="E275" s="1">
        <v>-153.8621</v>
      </c>
      <c r="G275" s="1">
        <f t="shared" si="58"/>
        <v>-1.4753166938011453</v>
      </c>
      <c r="H275" s="1">
        <f t="shared" si="59"/>
        <v>2.05492099070084E-3</v>
      </c>
      <c r="I275" s="1">
        <f t="shared" si="60"/>
        <v>-2.6854002390327674</v>
      </c>
      <c r="J275" s="1">
        <f t="shared" si="61"/>
        <v>8.3224300123384027E-4</v>
      </c>
      <c r="K275" s="1">
        <f t="shared" si="62"/>
        <v>-1.0875870968082708</v>
      </c>
      <c r="L275" s="1">
        <f t="shared" si="63"/>
        <v>1.7101936125992833E-6</v>
      </c>
    </row>
    <row r="276" spans="1:12" x14ac:dyDescent="0.3">
      <c r="A276" s="1">
        <v>9.0987329999999993</v>
      </c>
      <c r="B276" s="1">
        <v>1.3847989999999999E-3</v>
      </c>
      <c r="C276" s="1">
        <v>-84.525499999999994</v>
      </c>
      <c r="D276" s="1">
        <v>0.1177006</v>
      </c>
      <c r="E276" s="1">
        <v>4.7632339999999997E-5</v>
      </c>
      <c r="G276" s="1">
        <f t="shared" si="58"/>
        <v>-1.4752482768944668</v>
      </c>
      <c r="H276" s="1">
        <f t="shared" si="59"/>
        <v>2.054263001572838E-3</v>
      </c>
      <c r="I276" s="1">
        <f t="shared" si="60"/>
        <v>8.3134116342939585E-7</v>
      </c>
      <c r="J276" s="1">
        <f t="shared" si="61"/>
        <v>8.3197651563699947E-4</v>
      </c>
      <c r="K276" s="1">
        <f t="shared" si="62"/>
        <v>3.3669317118890534E-7</v>
      </c>
      <c r="L276" s="1">
        <f t="shared" si="63"/>
        <v>1.7090985742505735E-6</v>
      </c>
    </row>
    <row r="277" spans="1:12" x14ac:dyDescent="0.3">
      <c r="A277" s="1">
        <v>9.1320560000000004</v>
      </c>
      <c r="B277" s="1">
        <v>1.3850290000000001E-3</v>
      </c>
      <c r="C277" s="1">
        <v>-84.52158</v>
      </c>
      <c r="D277" s="1">
        <v>0.1177218</v>
      </c>
      <c r="E277" s="1">
        <v>4.7576379999999999E-5</v>
      </c>
      <c r="G277" s="1">
        <f t="shared" si="58"/>
        <v>-1.4751798599877888</v>
      </c>
      <c r="H277" s="1">
        <f t="shared" si="59"/>
        <v>2.0546330113742606E-3</v>
      </c>
      <c r="I277" s="1">
        <f t="shared" si="60"/>
        <v>8.303644771799798E-7</v>
      </c>
      <c r="J277" s="1">
        <f t="shared" si="61"/>
        <v>8.3212636960657558E-4</v>
      </c>
      <c r="K277" s="1">
        <f t="shared" si="62"/>
        <v>3.3629761325789182E-7</v>
      </c>
      <c r="L277" s="1">
        <f t="shared" si="63"/>
        <v>1.7097143086286894E-6</v>
      </c>
    </row>
    <row r="278" spans="1:12" x14ac:dyDescent="0.3">
      <c r="A278" s="1">
        <v>9.1653780000000005</v>
      </c>
      <c r="B278" s="1">
        <v>1.3847989999999999E-3</v>
      </c>
      <c r="C278" s="1">
        <v>-84.517660000000006</v>
      </c>
      <c r="D278" s="1">
        <v>0.1177038</v>
      </c>
      <c r="E278" s="1">
        <v>4.754423E-5</v>
      </c>
      <c r="G278" s="1">
        <f t="shared" si="58"/>
        <v>-1.4751114430811105</v>
      </c>
      <c r="H278" s="1">
        <f t="shared" si="59"/>
        <v>2.0543188521089015E-3</v>
      </c>
      <c r="I278" s="1">
        <f t="shared" si="60"/>
        <v>8.2980335382546354E-7</v>
      </c>
      <c r="J278" s="1">
        <f t="shared" si="61"/>
        <v>8.3199913510410514E-4</v>
      </c>
      <c r="K278" s="1">
        <f t="shared" si="62"/>
        <v>3.3607035829931274E-7</v>
      </c>
      <c r="L278" s="1">
        <f t="shared" si="63"/>
        <v>1.7091915081826641E-6</v>
      </c>
    </row>
    <row r="279" spans="1:12" x14ac:dyDescent="0.3">
      <c r="A279" s="1">
        <v>9.1987109999999994</v>
      </c>
      <c r="B279" s="1">
        <v>1.3845680000000001E-3</v>
      </c>
      <c r="C279" s="1">
        <v>-84.513729999999995</v>
      </c>
      <c r="D279" s="1">
        <v>0.1176857</v>
      </c>
      <c r="E279" s="1">
        <v>4.7519999999999999E-5</v>
      </c>
      <c r="G279" s="1">
        <f t="shared" si="58"/>
        <v>-1.4750428516415073</v>
      </c>
      <c r="H279" s="1">
        <f t="shared" si="59"/>
        <v>2.0540029475142906E-3</v>
      </c>
      <c r="I279" s="1">
        <f t="shared" si="60"/>
        <v>8.2938046054770538E-7</v>
      </c>
      <c r="J279" s="1">
        <f t="shared" si="61"/>
        <v>8.3187119374328778E-4</v>
      </c>
      <c r="K279" s="1">
        <f t="shared" si="62"/>
        <v>3.3589908652182069E-7</v>
      </c>
      <c r="L279" s="1">
        <f t="shared" si="63"/>
        <v>1.7086658839009445E-6</v>
      </c>
    </row>
    <row r="280" spans="1:12" x14ac:dyDescent="0.3">
      <c r="A280" s="1">
        <v>9.2320440000000001</v>
      </c>
      <c r="B280" s="1">
        <v>1.3850290000000001E-3</v>
      </c>
      <c r="C280" s="1">
        <v>-84.509810000000002</v>
      </c>
      <c r="D280" s="1">
        <v>0.1177266</v>
      </c>
      <c r="E280" s="1">
        <v>4.7479930000000001E-5</v>
      </c>
      <c r="G280" s="1">
        <f t="shared" si="58"/>
        <v>-1.474974434734829</v>
      </c>
      <c r="H280" s="1">
        <f t="shared" si="59"/>
        <v>2.0547167871783562E-3</v>
      </c>
      <c r="I280" s="1">
        <f t="shared" si="60"/>
        <v>8.2868110711643132E-7</v>
      </c>
      <c r="J280" s="1">
        <f t="shared" si="61"/>
        <v>8.3216029880723436E-4</v>
      </c>
      <c r="K280" s="1">
        <f t="shared" si="62"/>
        <v>3.356158483821547E-7</v>
      </c>
      <c r="L280" s="1">
        <f t="shared" si="63"/>
        <v>1.7098537355825813E-6</v>
      </c>
    </row>
    <row r="281" spans="1:12" x14ac:dyDescent="0.3">
      <c r="A281" s="1">
        <v>9.2653560000000006</v>
      </c>
      <c r="B281" s="1">
        <v>1.3850290000000001E-3</v>
      </c>
      <c r="C281" s="1">
        <v>-84.505889999999994</v>
      </c>
      <c r="D281" s="1">
        <v>0.11772820000000001</v>
      </c>
      <c r="E281" s="1">
        <v>-221.55779999999999</v>
      </c>
      <c r="G281" s="1">
        <f t="shared" si="58"/>
        <v>-1.4749060178281508</v>
      </c>
      <c r="H281" s="1">
        <f t="shared" si="59"/>
        <v>2.0547447124463882E-3</v>
      </c>
      <c r="I281" s="1">
        <f t="shared" si="60"/>
        <v>-3.8669130934750924</v>
      </c>
      <c r="J281" s="1">
        <f t="shared" si="61"/>
        <v>8.3217160854078724E-4</v>
      </c>
      <c r="K281" s="1">
        <f t="shared" si="62"/>
        <v>-1.5660998028574125</v>
      </c>
      <c r="L281" s="1">
        <f t="shared" si="63"/>
        <v>1.7099002124971881E-6</v>
      </c>
    </row>
    <row r="282" spans="1:12" x14ac:dyDescent="0.3">
      <c r="A282" s="1">
        <v>9.2986889999999995</v>
      </c>
      <c r="B282" s="1">
        <v>0.14989420000000001</v>
      </c>
      <c r="C282" s="1">
        <v>-84.501959999999997</v>
      </c>
      <c r="D282" s="1">
        <v>-12.802210000000001</v>
      </c>
      <c r="E282" s="1">
        <v>-357.2602</v>
      </c>
      <c r="G282" s="1">
        <f t="shared" si="58"/>
        <v>-1.4748374263885475</v>
      </c>
      <c r="H282" s="1">
        <f t="shared" si="59"/>
        <v>-0.22344071603174326</v>
      </c>
      <c r="I282" s="1">
        <f t="shared" si="60"/>
        <v>-6.2353667763334455</v>
      </c>
      <c r="J282" s="1">
        <f t="shared" si="61"/>
        <v>-9.049348999285603E-2</v>
      </c>
      <c r="K282" s="1">
        <f t="shared" si="62"/>
        <v>-2.5253235444150457</v>
      </c>
      <c r="L282" s="1">
        <f t="shared" si="63"/>
        <v>2.0219930200215144E-2</v>
      </c>
    </row>
    <row r="283" spans="1:12" x14ac:dyDescent="0.3">
      <c r="A283" s="1">
        <v>9.3320220000000003</v>
      </c>
      <c r="B283" s="1">
        <v>0.31815369999999998</v>
      </c>
      <c r="C283" s="1">
        <v>-85.359369999999998</v>
      </c>
      <c r="D283" s="1">
        <v>-27.173380000000002</v>
      </c>
      <c r="E283" s="1">
        <v>-284.7672</v>
      </c>
      <c r="G283" s="1">
        <f t="shared" si="58"/>
        <v>-1.4898020539280721</v>
      </c>
      <c r="H283" s="1">
        <f t="shared" si="59"/>
        <v>-0.47426494989557677</v>
      </c>
      <c r="I283" s="1">
        <f t="shared" si="60"/>
        <v>-4.9701252416851966</v>
      </c>
      <c r="J283" s="1">
        <f t="shared" si="61"/>
        <v>-0.19207730470770862</v>
      </c>
      <c r="K283" s="1">
        <f t="shared" si="62"/>
        <v>-2.0129007228825047</v>
      </c>
      <c r="L283" s="1">
        <f t="shared" si="63"/>
        <v>9.1095533293278852E-2</v>
      </c>
    </row>
    <row r="284" spans="1:12" x14ac:dyDescent="0.3">
      <c r="A284" s="1">
        <v>9.3653779999999998</v>
      </c>
      <c r="B284" s="1">
        <v>0.35288160000000002</v>
      </c>
      <c r="C284" s="1">
        <v>-86.314130000000006</v>
      </c>
      <c r="D284" s="1">
        <v>-30.143789999999999</v>
      </c>
      <c r="E284" s="1">
        <v>-87.722909999999999</v>
      </c>
      <c r="G284" s="1">
        <f t="shared" si="58"/>
        <v>-1.5064657594944133</v>
      </c>
      <c r="H284" s="1">
        <f t="shared" si="59"/>
        <v>-0.52610838452974151</v>
      </c>
      <c r="I284" s="1">
        <f t="shared" si="60"/>
        <v>-1.5310536089306588</v>
      </c>
      <c r="J284" s="1">
        <f t="shared" si="61"/>
        <v>-0.21307389573454533</v>
      </c>
      <c r="K284" s="1">
        <f t="shared" si="62"/>
        <v>-0.6200767116169168</v>
      </c>
      <c r="L284" s="1">
        <f t="shared" si="63"/>
        <v>0.11209996307036023</v>
      </c>
    </row>
    <row r="285" spans="1:12" x14ac:dyDescent="0.3">
      <c r="A285" s="1">
        <v>9.3986889999999992</v>
      </c>
      <c r="B285" s="1">
        <v>0.3871058</v>
      </c>
      <c r="C285" s="1">
        <v>-87.368949999999998</v>
      </c>
      <c r="D285" s="1">
        <v>-33.065800000000003</v>
      </c>
      <c r="E285" s="1">
        <v>-63.024720000000002</v>
      </c>
      <c r="G285" s="1">
        <f t="shared" si="58"/>
        <v>-1.5248758415102999</v>
      </c>
      <c r="H285" s="1">
        <f t="shared" si="59"/>
        <v>-0.57710707980594111</v>
      </c>
      <c r="I285" s="1">
        <f t="shared" si="60"/>
        <v>-1.0999888741475206</v>
      </c>
      <c r="J285" s="1">
        <f t="shared" si="61"/>
        <v>-0.23372836732140617</v>
      </c>
      <c r="K285" s="1">
        <f t="shared" si="62"/>
        <v>-0.44549549402974586</v>
      </c>
      <c r="L285" s="1">
        <f t="shared" si="63"/>
        <v>0.13488629553266707</v>
      </c>
    </row>
    <row r="286" spans="1:12" x14ac:dyDescent="0.3">
      <c r="A286" s="1">
        <v>9.4320109999999993</v>
      </c>
      <c r="B286" s="1">
        <v>0.40424909999999997</v>
      </c>
      <c r="C286" s="1">
        <v>-88.517409999999998</v>
      </c>
      <c r="D286" s="1">
        <v>-34.532739999999997</v>
      </c>
      <c r="E286" s="1">
        <v>-24.975239999999999</v>
      </c>
      <c r="G286" s="1">
        <f t="shared" si="58"/>
        <v>-1.5449202498377537</v>
      </c>
      <c r="H286" s="1">
        <f t="shared" si="59"/>
        <v>-0.60271001273514657</v>
      </c>
      <c r="I286" s="1">
        <f t="shared" si="60"/>
        <v>-0.43590016947578858</v>
      </c>
      <c r="J286" s="1">
        <f t="shared" si="61"/>
        <v>-0.24409755515773437</v>
      </c>
      <c r="K286" s="1">
        <f t="shared" si="62"/>
        <v>-0.17653956863769438</v>
      </c>
      <c r="L286" s="1">
        <f t="shared" si="63"/>
        <v>0.14712004057773623</v>
      </c>
    </row>
    <row r="287" spans="1:12" x14ac:dyDescent="0.3">
      <c r="A287" s="1">
        <v>9.4653329999999993</v>
      </c>
      <c r="B287" s="1">
        <v>0.4042057</v>
      </c>
      <c r="C287" s="1">
        <v>-89.670370000000005</v>
      </c>
      <c r="D287" s="1">
        <v>-34.533670000000001</v>
      </c>
      <c r="E287" s="1">
        <v>-4.3253060000000003</v>
      </c>
      <c r="G287" s="1">
        <f t="shared" si="58"/>
        <v>-1.5650431979815478</v>
      </c>
      <c r="H287" s="1">
        <f t="shared" si="59"/>
        <v>-0.60272624429719013</v>
      </c>
      <c r="I287" s="1">
        <f t="shared" si="60"/>
        <v>-7.5490830856265859E-2</v>
      </c>
      <c r="J287" s="1">
        <f t="shared" si="61"/>
        <v>-0.24410412894036201</v>
      </c>
      <c r="K287" s="1">
        <f t="shared" si="62"/>
        <v>-3.0573786496787676E-2</v>
      </c>
      <c r="L287" s="1">
        <f t="shared" si="63"/>
        <v>0.14712796485366145</v>
      </c>
    </row>
    <row r="288" spans="1:12" x14ac:dyDescent="0.3">
      <c r="A288" s="1">
        <v>9.4986890000000006</v>
      </c>
      <c r="B288" s="1">
        <v>0.40667009999999998</v>
      </c>
      <c r="C288" s="1">
        <v>-90.820040000000006</v>
      </c>
      <c r="D288" s="1">
        <v>-34.748800000000003</v>
      </c>
      <c r="E288" s="1">
        <v>24.502230000000001</v>
      </c>
      <c r="G288" s="1">
        <f t="shared" si="58"/>
        <v>-1.585108724792951</v>
      </c>
      <c r="H288" s="1">
        <f t="shared" si="59"/>
        <v>-0.60648097111700561</v>
      </c>
      <c r="I288" s="1">
        <f t="shared" si="60"/>
        <v>0.42764458758093021</v>
      </c>
      <c r="J288" s="1">
        <f t="shared" si="61"/>
        <v>-0.24562479330238729</v>
      </c>
      <c r="K288" s="1">
        <f t="shared" si="62"/>
        <v>0.17319605797027673</v>
      </c>
      <c r="L288" s="1">
        <f t="shared" si="63"/>
        <v>0.14896676317244562</v>
      </c>
    </row>
    <row r="289" spans="1:12" x14ac:dyDescent="0.3">
      <c r="A289" s="1">
        <v>9.532</v>
      </c>
      <c r="B289" s="1">
        <v>0.38907049999999999</v>
      </c>
      <c r="C289" s="1">
        <v>-91.986959999999996</v>
      </c>
      <c r="D289" s="1">
        <v>-33.245019999999997</v>
      </c>
      <c r="E289" s="1">
        <v>50.823160000000001</v>
      </c>
      <c r="G289" s="1">
        <f t="shared" si="58"/>
        <v>-1.605475320900323</v>
      </c>
      <c r="H289" s="1">
        <f t="shared" si="59"/>
        <v>-0.58023505889136517</v>
      </c>
      <c r="I289" s="1">
        <f t="shared" si="60"/>
        <v>0.88703147826788131</v>
      </c>
      <c r="J289" s="1">
        <f t="shared" si="61"/>
        <v>-0.23499519885100292</v>
      </c>
      <c r="K289" s="1">
        <f t="shared" si="62"/>
        <v>0.35924774869849196</v>
      </c>
      <c r="L289" s="1">
        <f t="shared" si="63"/>
        <v>0.13635245304449975</v>
      </c>
    </row>
    <row r="290" spans="1:12" x14ac:dyDescent="0.3">
      <c r="A290" s="1">
        <v>9.5653439999999996</v>
      </c>
      <c r="B290" s="1">
        <v>0.36166720000000002</v>
      </c>
      <c r="C290" s="1">
        <v>-93.036010000000005</v>
      </c>
      <c r="D290" s="1">
        <v>-30.905760000000001</v>
      </c>
      <c r="E290" s="1">
        <v>75.286180000000002</v>
      </c>
      <c r="G290" s="1">
        <f t="shared" si="58"/>
        <v>-1.6237846974183696</v>
      </c>
      <c r="H290" s="1">
        <f t="shared" si="59"/>
        <v>-0.53940726983116272</v>
      </c>
      <c r="I290" s="1">
        <f t="shared" si="60"/>
        <v>1.3139917222491044</v>
      </c>
      <c r="J290" s="1">
        <f t="shared" si="61"/>
        <v>-0.21845994428162091</v>
      </c>
      <c r="K290" s="1">
        <f t="shared" si="62"/>
        <v>0.53216664751088738</v>
      </c>
      <c r="L290" s="1">
        <f t="shared" si="63"/>
        <v>0.11783888211241707</v>
      </c>
    </row>
    <row r="291" spans="1:12" x14ac:dyDescent="0.3">
      <c r="A291" s="1">
        <v>9.5986560000000001</v>
      </c>
      <c r="B291" s="1">
        <v>0.33445059999999999</v>
      </c>
      <c r="C291" s="1">
        <v>-94.046999999999997</v>
      </c>
      <c r="D291" s="1">
        <v>-28.57957</v>
      </c>
      <c r="E291" s="1">
        <v>99.799199999999999</v>
      </c>
      <c r="G291" s="1">
        <f t="shared" si="58"/>
        <v>-1.6414298016231068</v>
      </c>
      <c r="H291" s="1">
        <f t="shared" si="59"/>
        <v>-0.49880759530419583</v>
      </c>
      <c r="I291" s="1">
        <f t="shared" si="60"/>
        <v>1.7418246308563248</v>
      </c>
      <c r="J291" s="1">
        <f t="shared" si="61"/>
        <v>-0.20201707609819933</v>
      </c>
      <c r="K291" s="1">
        <f t="shared" si="62"/>
        <v>0.70543897549681156</v>
      </c>
      <c r="L291" s="1">
        <f t="shared" si="63"/>
        <v>0.10076765193892753</v>
      </c>
    </row>
    <row r="292" spans="1:12" x14ac:dyDescent="0.3">
      <c r="A292" s="1">
        <v>9.6319780000000002</v>
      </c>
      <c r="B292" s="1">
        <v>0.28310400000000002</v>
      </c>
      <c r="C292" s="1">
        <v>-94.940359999999998</v>
      </c>
      <c r="D292" s="1">
        <v>-24.192720000000001</v>
      </c>
      <c r="E292" s="1">
        <v>267.2373</v>
      </c>
      <c r="G292" s="1">
        <f t="shared" si="58"/>
        <v>-1.6570218750287236</v>
      </c>
      <c r="H292" s="1">
        <f t="shared" si="59"/>
        <v>-0.42224261901308263</v>
      </c>
      <c r="I292" s="1">
        <f t="shared" si="60"/>
        <v>4.6641707691398429</v>
      </c>
      <c r="J292" s="1">
        <f t="shared" si="61"/>
        <v>-0.17100826070029848</v>
      </c>
      <c r="K292" s="1">
        <f t="shared" si="62"/>
        <v>1.8889891615016365</v>
      </c>
      <c r="L292" s="1">
        <f t="shared" si="63"/>
        <v>7.2206975870966042E-2</v>
      </c>
    </row>
    <row r="293" spans="1:12" x14ac:dyDescent="0.3">
      <c r="A293" s="1">
        <v>9.6653330000000004</v>
      </c>
      <c r="B293" s="1">
        <v>0.13680300000000001</v>
      </c>
      <c r="C293" s="1">
        <v>-95.660110000000003</v>
      </c>
      <c r="D293" s="1">
        <v>-11.6822</v>
      </c>
      <c r="E293" s="1">
        <v>700.80960000000005</v>
      </c>
      <c r="G293" s="1">
        <f t="shared" si="58"/>
        <v>-1.6695838823199529</v>
      </c>
      <c r="H293" s="1">
        <f t="shared" si="59"/>
        <v>-0.20389285387648157</v>
      </c>
      <c r="I293" s="1">
        <f t="shared" si="60"/>
        <v>12.231434949584452</v>
      </c>
      <c r="J293" s="1">
        <f t="shared" si="61"/>
        <v>-8.2576605819975044E-2</v>
      </c>
      <c r="K293" s="1">
        <f t="shared" si="62"/>
        <v>4.9537311545817033</v>
      </c>
      <c r="L293" s="1">
        <f t="shared" si="63"/>
        <v>1.6836779824067987E-2</v>
      </c>
    </row>
    <row r="294" spans="1:12" x14ac:dyDescent="0.3">
      <c r="A294" s="1">
        <v>9.6986439999999998</v>
      </c>
      <c r="B294" s="1">
        <v>0.25393189999999999</v>
      </c>
      <c r="C294" s="1">
        <v>-95.719170000000005</v>
      </c>
      <c r="D294" s="1">
        <v>21.63946</v>
      </c>
      <c r="E294" s="1">
        <v>322.18380000000002</v>
      </c>
      <c r="G294" s="1">
        <f t="shared" si="58"/>
        <v>-1.6706146737761809</v>
      </c>
      <c r="H294" s="1">
        <f t="shared" si="59"/>
        <v>0.37767982535361211</v>
      </c>
      <c r="I294" s="1">
        <f t="shared" si="60"/>
        <v>5.623168106586907</v>
      </c>
      <c r="J294" s="1">
        <f t="shared" si="61"/>
        <v>0.1529603292682129</v>
      </c>
      <c r="K294" s="1">
        <f t="shared" si="62"/>
        <v>2.2773830831676976</v>
      </c>
      <c r="L294" s="1">
        <f t="shared" si="63"/>
        <v>5.7770030444049658E-2</v>
      </c>
    </row>
    <row r="295" spans="1:12" x14ac:dyDescent="0.3">
      <c r="A295" s="1">
        <v>9.7319779999999998</v>
      </c>
      <c r="B295" s="1">
        <v>0.22126779999999999</v>
      </c>
      <c r="C295" s="1">
        <v>-94.217960000000005</v>
      </c>
      <c r="D295" s="1">
        <v>18.813829999999999</v>
      </c>
      <c r="E295" s="1">
        <v>-208.73320000000001</v>
      </c>
      <c r="G295" s="1">
        <f t="shared" si="58"/>
        <v>-1.6444136165123167</v>
      </c>
      <c r="H295" s="1">
        <f t="shared" si="59"/>
        <v>0.32836327841048474</v>
      </c>
      <c r="I295" s="1">
        <f t="shared" si="60"/>
        <v>-3.6430815982238283</v>
      </c>
      <c r="J295" s="1">
        <f t="shared" si="61"/>
        <v>0.13298712775624633</v>
      </c>
      <c r="K295" s="1">
        <f t="shared" si="62"/>
        <v>-1.4754480472806506</v>
      </c>
      <c r="L295" s="1">
        <f t="shared" si="63"/>
        <v>4.3668089256435012E-2</v>
      </c>
    </row>
    <row r="296" spans="1:12" x14ac:dyDescent="0.3">
      <c r="A296" s="1">
        <v>9.7652999999999999</v>
      </c>
      <c r="B296" s="1">
        <v>4.2886340000000002E-2</v>
      </c>
      <c r="C296" s="1">
        <v>-94.465119999999999</v>
      </c>
      <c r="D296" s="1">
        <v>-3.6511279999999999</v>
      </c>
      <c r="E296" s="1">
        <v>-345.19529999999997</v>
      </c>
      <c r="G296" s="1">
        <f t="shared" si="58"/>
        <v>-1.6487273722915459</v>
      </c>
      <c r="H296" s="1">
        <f t="shared" si="59"/>
        <v>-6.3724205011755519E-2</v>
      </c>
      <c r="I296" s="1">
        <f t="shared" si="60"/>
        <v>-6.0247945474095808</v>
      </c>
      <c r="J296" s="1">
        <f t="shared" si="61"/>
        <v>-2.5808303029760987E-2</v>
      </c>
      <c r="K296" s="1">
        <f t="shared" si="62"/>
        <v>-2.4400417917008803</v>
      </c>
      <c r="L296" s="1">
        <f t="shared" si="63"/>
        <v>1.6446135932740003E-3</v>
      </c>
    </row>
    <row r="297" spans="1:12" x14ac:dyDescent="0.3">
      <c r="A297" s="1">
        <v>9.7986330000000006</v>
      </c>
      <c r="B297" s="1">
        <v>6.6628290000000003E-3</v>
      </c>
      <c r="C297" s="1">
        <v>-94.461330000000004</v>
      </c>
      <c r="D297" s="1">
        <v>0.56669749999999997</v>
      </c>
      <c r="E297" s="1">
        <v>156.87360000000001</v>
      </c>
      <c r="G297" s="1">
        <f t="shared" si="58"/>
        <v>-1.6486612243128951</v>
      </c>
      <c r="H297" s="1">
        <f t="shared" si="59"/>
        <v>9.8907372378205637E-3</v>
      </c>
      <c r="I297" s="1">
        <f t="shared" si="60"/>
        <v>2.7379608294565765</v>
      </c>
      <c r="J297" s="1">
        <f t="shared" si="61"/>
        <v>4.0057485813173284E-3</v>
      </c>
      <c r="K297" s="1">
        <f t="shared" si="62"/>
        <v>1.1088741359299135</v>
      </c>
      <c r="L297" s="1">
        <f t="shared" si="63"/>
        <v>3.9619806658582197E-5</v>
      </c>
    </row>
    <row r="298" spans="1:12" x14ac:dyDescent="0.3">
      <c r="A298" s="1">
        <v>9.831944</v>
      </c>
      <c r="B298" s="1">
        <v>6.7142939999999998E-2</v>
      </c>
      <c r="C298" s="1">
        <v>-94.427359999999993</v>
      </c>
      <c r="D298" s="1">
        <v>5.7247219999999999</v>
      </c>
      <c r="E298" s="1">
        <v>153.6095</v>
      </c>
      <c r="G298" s="1">
        <f t="shared" si="58"/>
        <v>-1.6480683359659924</v>
      </c>
      <c r="H298" s="1">
        <f t="shared" si="59"/>
        <v>9.9915247661354817E-2</v>
      </c>
      <c r="I298" s="1">
        <f t="shared" si="60"/>
        <v>2.6809915373422295</v>
      </c>
      <c r="J298" s="1">
        <f t="shared" si="61"/>
        <v>4.0465675302848704E-2</v>
      </c>
      <c r="K298" s="1">
        <f t="shared" si="62"/>
        <v>1.085801572623603</v>
      </c>
      <c r="L298" s="1">
        <f t="shared" si="63"/>
        <v>4.0431379696680972E-3</v>
      </c>
    </row>
    <row r="299" spans="1:12" x14ac:dyDescent="0.3">
      <c r="A299" s="1">
        <v>9.8652890000000006</v>
      </c>
      <c r="B299" s="1">
        <v>0.1392109</v>
      </c>
      <c r="C299" s="1">
        <v>-94.079750000000004</v>
      </c>
      <c r="D299" s="1">
        <v>11.876329999999999</v>
      </c>
      <c r="E299" s="1">
        <v>148.09739999999999</v>
      </c>
      <c r="G299" s="1">
        <f t="shared" si="58"/>
        <v>-1.6420013969531353</v>
      </c>
      <c r="H299" s="1">
        <f t="shared" si="59"/>
        <v>0.20728106155337814</v>
      </c>
      <c r="I299" s="1">
        <f t="shared" si="60"/>
        <v>2.5847872436430501</v>
      </c>
      <c r="J299" s="1">
        <f t="shared" si="61"/>
        <v>8.3948829929118146E-2</v>
      </c>
      <c r="K299" s="1">
        <f t="shared" si="62"/>
        <v>1.0468388336754353</v>
      </c>
      <c r="L299" s="1">
        <f t="shared" si="63"/>
        <v>1.7401002583871613E-2</v>
      </c>
    </row>
    <row r="300" spans="1:12" x14ac:dyDescent="0.3">
      <c r="A300" s="1">
        <v>9.8986110000000007</v>
      </c>
      <c r="B300" s="1">
        <v>0.1768864</v>
      </c>
      <c r="C300" s="1">
        <v>-93.635599999999997</v>
      </c>
      <c r="D300" s="1">
        <v>15.08752</v>
      </c>
      <c r="E300" s="1">
        <v>113.297</v>
      </c>
      <c r="G300" s="1">
        <f t="shared" si="58"/>
        <v>-1.6342495170804021</v>
      </c>
      <c r="H300" s="1">
        <f t="shared" si="59"/>
        <v>0.26332689996049485</v>
      </c>
      <c r="I300" s="1">
        <f t="shared" si="60"/>
        <v>1.9774056826320157</v>
      </c>
      <c r="J300" s="1">
        <f t="shared" si="61"/>
        <v>0.10664739448400043</v>
      </c>
      <c r="K300" s="1">
        <f t="shared" si="62"/>
        <v>0.80084930146596645</v>
      </c>
      <c r="L300" s="1">
        <f t="shared" si="63"/>
        <v>2.8083127778335812E-2</v>
      </c>
    </row>
    <row r="301" spans="1:12" x14ac:dyDescent="0.3">
      <c r="A301" s="1">
        <v>9.9319330000000008</v>
      </c>
      <c r="B301" s="1">
        <v>0.22695770000000001</v>
      </c>
      <c r="C301" s="1">
        <v>-93.074250000000006</v>
      </c>
      <c r="D301" s="1">
        <v>19.36225</v>
      </c>
      <c r="E301" s="1">
        <v>168.32759999999999</v>
      </c>
      <c r="G301" s="1">
        <f t="shared" si="58"/>
        <v>-1.6244521113243324</v>
      </c>
      <c r="H301" s="1">
        <f t="shared" si="59"/>
        <v>0.33793501309427204</v>
      </c>
      <c r="I301" s="1">
        <f t="shared" si="60"/>
        <v>2.9378708419800068</v>
      </c>
      <c r="J301" s="1">
        <f t="shared" si="61"/>
        <v>0.13686368030318019</v>
      </c>
      <c r="K301" s="1">
        <f t="shared" si="62"/>
        <v>1.1898376910019028</v>
      </c>
      <c r="L301" s="1">
        <f t="shared" si="63"/>
        <v>4.6251029595385462E-2</v>
      </c>
    </row>
    <row r="302" spans="1:12" x14ac:dyDescent="0.3">
      <c r="A302" s="1">
        <v>9.9652890000000003</v>
      </c>
      <c r="B302" s="1">
        <v>0.30662699999999998</v>
      </c>
      <c r="C302" s="1">
        <v>-92.344570000000004</v>
      </c>
      <c r="D302" s="1">
        <v>26.160769999999999</v>
      </c>
      <c r="E302" s="1">
        <v>136.94829999999999</v>
      </c>
      <c r="G302" s="1">
        <f t="shared" si="58"/>
        <v>-1.61171679283838</v>
      </c>
      <c r="H302" s="1">
        <f t="shared" si="59"/>
        <v>0.45659157135695694</v>
      </c>
      <c r="I302" s="1">
        <f t="shared" si="60"/>
        <v>2.3901987400089504</v>
      </c>
      <c r="J302" s="1">
        <f t="shared" si="61"/>
        <v>0.18491958639956757</v>
      </c>
      <c r="K302" s="1">
        <f t="shared" si="62"/>
        <v>0.96803048970362493</v>
      </c>
      <c r="L302" s="1">
        <f t="shared" si="63"/>
        <v>8.4432724528857112E-2</v>
      </c>
    </row>
    <row r="303" spans="1:12" x14ac:dyDescent="0.3">
      <c r="A303" s="1">
        <v>9.9985999999999997</v>
      </c>
      <c r="B303" s="1">
        <v>0.34581089999999998</v>
      </c>
      <c r="C303" s="1">
        <v>-91.330200000000005</v>
      </c>
      <c r="D303" s="1">
        <v>29.50142</v>
      </c>
      <c r="E303" s="1">
        <v>-221.5693</v>
      </c>
      <c r="G303" s="1">
        <f t="shared" si="58"/>
        <v>-1.5940126965049251</v>
      </c>
      <c r="H303" s="1">
        <f t="shared" si="59"/>
        <v>0.51489691301370555</v>
      </c>
      <c r="I303" s="1">
        <f t="shared" si="60"/>
        <v>-3.8671138063390718</v>
      </c>
      <c r="J303" s="1">
        <f t="shared" si="61"/>
        <v>0.20853324977055077</v>
      </c>
      <c r="K303" s="1">
        <f t="shared" si="62"/>
        <v>-1.5661810915673242</v>
      </c>
      <c r="L303" s="1">
        <f t="shared" si="63"/>
        <v>0.1073731265675726</v>
      </c>
    </row>
    <row r="304" spans="1:12" x14ac:dyDescent="0.3">
      <c r="A304" s="1">
        <v>10.03192</v>
      </c>
      <c r="B304" s="1">
        <v>0.1495582</v>
      </c>
      <c r="C304" s="1">
        <v>-90.378789999999995</v>
      </c>
      <c r="D304" s="1">
        <v>12.75508</v>
      </c>
      <c r="E304" s="1">
        <v>-422.28100000000001</v>
      </c>
      <c r="G304" s="1">
        <f t="shared" si="58"/>
        <v>-1.5774074594685257</v>
      </c>
      <c r="H304" s="1">
        <f t="shared" si="59"/>
        <v>0.22261814235527833</v>
      </c>
      <c r="I304" s="1">
        <f t="shared" si="60"/>
        <v>-7.3701938186141751</v>
      </c>
      <c r="J304" s="1">
        <f t="shared" si="61"/>
        <v>9.0160347653887724E-2</v>
      </c>
      <c r="K304" s="1">
        <f t="shared" si="62"/>
        <v>-2.9849284965387413</v>
      </c>
      <c r="L304" s="1">
        <f t="shared" si="63"/>
        <v>2.0071329108814564E-2</v>
      </c>
    </row>
    <row r="305" spans="1:12" x14ac:dyDescent="0.3">
      <c r="A305" s="1">
        <v>10.065289999999999</v>
      </c>
      <c r="B305" s="1">
        <v>3.7815649999999999E-2</v>
      </c>
      <c r="C305" s="1">
        <v>-90.479579999999999</v>
      </c>
      <c r="D305" s="1">
        <v>-3.025487</v>
      </c>
      <c r="E305" s="1">
        <v>30.59525</v>
      </c>
      <c r="G305" s="1">
        <f t="shared" si="58"/>
        <v>-1.579166576821611</v>
      </c>
      <c r="H305" s="1">
        <f t="shared" si="59"/>
        <v>-5.2804709626285681E-2</v>
      </c>
      <c r="I305" s="1">
        <f t="shared" si="60"/>
        <v>0.53398784797079513</v>
      </c>
      <c r="J305" s="1">
        <f t="shared" si="61"/>
        <v>-2.1385907398645702E-2</v>
      </c>
      <c r="K305" s="1">
        <f t="shared" si="62"/>
        <v>0.21626507842817205</v>
      </c>
      <c r="L305" s="1">
        <f t="shared" si="63"/>
        <v>1.1292766302801209E-3</v>
      </c>
    </row>
    <row r="306" spans="1:12" x14ac:dyDescent="0.3">
      <c r="A306" s="1">
        <v>10.09859</v>
      </c>
      <c r="B306" s="1">
        <v>0.1704185</v>
      </c>
      <c r="C306" s="1">
        <v>-90.580489999999998</v>
      </c>
      <c r="D306" s="1">
        <v>14.535159999999999</v>
      </c>
      <c r="E306" s="1">
        <v>451.92059999999998</v>
      </c>
      <c r="G306" s="1">
        <f t="shared" si="58"/>
        <v>-1.5809277885697983</v>
      </c>
      <c r="H306" s="1">
        <f t="shared" si="59"/>
        <v>0.25368639930417897</v>
      </c>
      <c r="I306" s="1">
        <f t="shared" si="60"/>
        <v>7.8875024275882852</v>
      </c>
      <c r="J306" s="1">
        <f t="shared" si="61"/>
        <v>0.10274299171819248</v>
      </c>
      <c r="K306" s="1">
        <f t="shared" si="62"/>
        <v>3.1944384831732555</v>
      </c>
      <c r="L306" s="1">
        <f t="shared" si="63"/>
        <v>2.6064499622727333E-2</v>
      </c>
    </row>
    <row r="307" spans="1:12" x14ac:dyDescent="0.3">
      <c r="A307" s="1">
        <v>10.132</v>
      </c>
      <c r="B307" s="1">
        <v>0.37603310000000001</v>
      </c>
      <c r="C307" s="1">
        <v>-89.509919999999994</v>
      </c>
      <c r="D307" s="1">
        <v>32.123660000000001</v>
      </c>
      <c r="E307" s="1">
        <v>306.00560000000002</v>
      </c>
      <c r="G307" s="1">
        <f t="shared" si="58"/>
        <v>-1.5622428171967226</v>
      </c>
      <c r="H307" s="1">
        <f t="shared" si="59"/>
        <v>0.56066363479120163</v>
      </c>
      <c r="I307" s="1">
        <f t="shared" si="60"/>
        <v>5.3408052495407601</v>
      </c>
      <c r="J307" s="1">
        <f t="shared" si="61"/>
        <v>0.22706877209043666</v>
      </c>
      <c r="K307" s="1">
        <f t="shared" si="62"/>
        <v>2.163026126064008</v>
      </c>
      <c r="L307" s="1">
        <f t="shared" si="63"/>
        <v>0.12730920310779917</v>
      </c>
    </row>
    <row r="308" spans="1:12" x14ac:dyDescent="0.3">
      <c r="A308" s="1">
        <v>10.165240000000001</v>
      </c>
      <c r="B308" s="1">
        <v>0.37957689999999999</v>
      </c>
      <c r="C308" s="1">
        <v>-88.439269999999993</v>
      </c>
      <c r="D308" s="1">
        <v>32.429519999999997</v>
      </c>
      <c r="E308" s="1">
        <v>-13.739509999999999</v>
      </c>
      <c r="G308" s="1">
        <f t="shared" si="58"/>
        <v>-1.5435564495602452</v>
      </c>
      <c r="H308" s="1">
        <f t="shared" si="59"/>
        <v>0.56600189884135144</v>
      </c>
      <c r="I308" s="1">
        <f t="shared" si="60"/>
        <v>-0.23979968711068611</v>
      </c>
      <c r="J308" s="1">
        <f t="shared" si="61"/>
        <v>0.22923076903074735</v>
      </c>
      <c r="K308" s="1">
        <f t="shared" si="62"/>
        <v>-9.7118873279827878E-2</v>
      </c>
      <c r="L308" s="1">
        <f t="shared" si="63"/>
        <v>0.12974505054426624</v>
      </c>
    </row>
    <row r="309" spans="1:12" x14ac:dyDescent="0.3">
      <c r="A309" s="1">
        <v>10.19857</v>
      </c>
      <c r="B309" s="1">
        <v>0.36824669999999998</v>
      </c>
      <c r="C309" s="1">
        <v>-87.351190000000003</v>
      </c>
      <c r="D309" s="1">
        <v>31.45844</v>
      </c>
      <c r="E309" s="1">
        <v>-44.284779999999998</v>
      </c>
      <c r="G309" s="1">
        <f t="shared" si="58"/>
        <v>-1.5245658710351455</v>
      </c>
      <c r="H309" s="1">
        <f t="shared" si="59"/>
        <v>0.54905335554108503</v>
      </c>
      <c r="I309" s="1">
        <f t="shared" si="60"/>
        <v>-0.77291521952133435</v>
      </c>
      <c r="J309" s="1">
        <f t="shared" si="61"/>
        <v>0.22236660899413946</v>
      </c>
      <c r="K309" s="1">
        <f t="shared" si="62"/>
        <v>-0.31303066390614043</v>
      </c>
      <c r="L309" s="1">
        <f t="shared" si="63"/>
        <v>0.12209113282852468</v>
      </c>
    </row>
    <row r="310" spans="1:12" x14ac:dyDescent="0.3">
      <c r="A310" s="1">
        <v>10.23189</v>
      </c>
      <c r="B310" s="1">
        <v>0.34196650000000001</v>
      </c>
      <c r="C310" s="1">
        <v>-86.342740000000006</v>
      </c>
      <c r="D310" s="1">
        <v>29.209599999999998</v>
      </c>
      <c r="E310" s="1">
        <v>-74.913070000000005</v>
      </c>
      <c r="G310" s="1">
        <f t="shared" si="58"/>
        <v>-1.5069650981934086</v>
      </c>
      <c r="H310" s="1">
        <f t="shared" si="59"/>
        <v>0.50980369319053565</v>
      </c>
      <c r="I310" s="1">
        <f t="shared" si="60"/>
        <v>-1.3074797242769884</v>
      </c>
      <c r="J310" s="1">
        <f t="shared" si="61"/>
        <v>0.20647049574216694</v>
      </c>
      <c r="K310" s="1">
        <f t="shared" si="62"/>
        <v>-0.52952928833218038</v>
      </c>
      <c r="L310" s="1">
        <f t="shared" si="63"/>
        <v>0.10525942126423747</v>
      </c>
    </row>
    <row r="311" spans="1:12" x14ac:dyDescent="0.3">
      <c r="A311" s="1">
        <v>10.265219999999999</v>
      </c>
      <c r="B311" s="1">
        <v>0.310803</v>
      </c>
      <c r="C311" s="1">
        <v>-85.404210000000006</v>
      </c>
      <c r="D311" s="1">
        <v>26.549880000000002</v>
      </c>
      <c r="E311" s="1">
        <v>-99.480829999999997</v>
      </c>
      <c r="G311" s="1">
        <f t="shared" si="58"/>
        <v>-1.4905846595646666</v>
      </c>
      <c r="H311" s="1">
        <f t="shared" si="59"/>
        <v>0.46338282200939218</v>
      </c>
      <c r="I311" s="1">
        <f t="shared" si="60"/>
        <v>-1.7362680261167505</v>
      </c>
      <c r="J311" s="1">
        <f t="shared" si="61"/>
        <v>0.18767004291380385</v>
      </c>
      <c r="K311" s="1">
        <f t="shared" si="62"/>
        <v>-0.70318855057728402</v>
      </c>
      <c r="L311" s="1">
        <f t="shared" si="63"/>
        <v>8.6963074092022155E-2</v>
      </c>
    </row>
    <row r="312" spans="1:12" x14ac:dyDescent="0.3">
      <c r="A312" s="1">
        <v>10.29857</v>
      </c>
      <c r="B312" s="1">
        <v>0.26450639999999997</v>
      </c>
      <c r="C312" s="1">
        <v>-84.572450000000003</v>
      </c>
      <c r="D312" s="1">
        <v>22.592410000000001</v>
      </c>
      <c r="E312" s="1">
        <v>-132.97720000000001</v>
      </c>
      <c r="G312" s="1">
        <f t="shared" si="58"/>
        <v>-1.4760677089782783</v>
      </c>
      <c r="H312" s="1">
        <f t="shared" si="59"/>
        <v>0.39431194046049212</v>
      </c>
      <c r="I312" s="1">
        <f t="shared" si="60"/>
        <v>-2.3208899700830035</v>
      </c>
      <c r="J312" s="1">
        <f t="shared" si="61"/>
        <v>0.15969633588649931</v>
      </c>
      <c r="K312" s="1">
        <f t="shared" si="62"/>
        <v>-0.9399604378836165</v>
      </c>
      <c r="L312" s="1">
        <f t="shared" si="63"/>
        <v>6.2970172087836063E-2</v>
      </c>
    </row>
    <row r="313" spans="1:12" x14ac:dyDescent="0.3">
      <c r="A313" s="1">
        <v>10.331910000000001</v>
      </c>
      <c r="B313" s="1">
        <v>0.20637459999999999</v>
      </c>
      <c r="C313" s="1">
        <v>-83.897549999999995</v>
      </c>
      <c r="D313" s="1">
        <v>17.628060000000001</v>
      </c>
      <c r="E313" s="1">
        <v>-136.08930000000001</v>
      </c>
      <c r="G313" s="1">
        <f t="shared" si="58"/>
        <v>-1.4642884818565685</v>
      </c>
      <c r="H313" s="1">
        <f t="shared" si="59"/>
        <v>0.30766768773911163</v>
      </c>
      <c r="I313" s="1">
        <f t="shared" si="60"/>
        <v>-2.3752063617343193</v>
      </c>
      <c r="J313" s="1">
        <f t="shared" si="61"/>
        <v>0.12460541353434022</v>
      </c>
      <c r="K313" s="1">
        <f t="shared" si="62"/>
        <v>-0.96195857650239935</v>
      </c>
      <c r="L313" s="1">
        <f t="shared" si="63"/>
        <v>3.8337059461886258E-2</v>
      </c>
    </row>
    <row r="314" spans="1:12" x14ac:dyDescent="0.3">
      <c r="A314" s="1">
        <v>10.365209999999999</v>
      </c>
      <c r="B314" s="1">
        <v>0.15642539999999999</v>
      </c>
      <c r="C314" s="1">
        <v>-83.397639999999996</v>
      </c>
      <c r="D314" s="1">
        <v>13.36049</v>
      </c>
      <c r="E314" s="1">
        <v>-155.04939999999999</v>
      </c>
      <c r="G314" s="1">
        <f t="shared" si="58"/>
        <v>-1.4555634063929237</v>
      </c>
      <c r="H314" s="1">
        <f t="shared" si="59"/>
        <v>0.23318454017977719</v>
      </c>
      <c r="I314" s="1">
        <f t="shared" si="60"/>
        <v>-2.7061225332416958</v>
      </c>
      <c r="J314" s="1">
        <f t="shared" si="61"/>
        <v>9.443973877280977E-2</v>
      </c>
      <c r="K314" s="1">
        <f t="shared" si="62"/>
        <v>-1.0959796259628869</v>
      </c>
      <c r="L314" s="1">
        <f t="shared" si="63"/>
        <v>2.2021887060435921E-2</v>
      </c>
    </row>
    <row r="315" spans="1:12" x14ac:dyDescent="0.3">
      <c r="A315" s="1">
        <v>10.398529999999999</v>
      </c>
      <c r="B315" s="1">
        <v>9.0831410000000001E-2</v>
      </c>
      <c r="C315" s="1">
        <v>-83.007440000000003</v>
      </c>
      <c r="D315" s="1">
        <v>7.7578170000000002</v>
      </c>
      <c r="E315" s="1">
        <v>-157.16749999999999</v>
      </c>
      <c r="G315" s="1">
        <f t="shared" si="58"/>
        <v>-1.4487531316516418</v>
      </c>
      <c r="H315" s="1">
        <f t="shared" si="59"/>
        <v>0.13539944941718893</v>
      </c>
      <c r="I315" s="1">
        <f t="shared" si="60"/>
        <v>-2.7430903521281875</v>
      </c>
      <c r="J315" s="1">
        <f t="shared" si="61"/>
        <v>5.4836777013961516E-2</v>
      </c>
      <c r="K315" s="1">
        <f t="shared" si="62"/>
        <v>-1.110951592611916</v>
      </c>
      <c r="L315" s="1">
        <f t="shared" si="63"/>
        <v>7.4248694155035506E-3</v>
      </c>
    </row>
    <row r="316" spans="1:12" x14ac:dyDescent="0.3">
      <c r="A316" s="1">
        <v>10.43188</v>
      </c>
      <c r="B316" s="1">
        <v>2.5966429999999999E-2</v>
      </c>
      <c r="C316" s="1">
        <v>-82.880449999999996</v>
      </c>
      <c r="D316" s="1">
        <v>2.217441</v>
      </c>
      <c r="E316" s="1">
        <v>-119.2958</v>
      </c>
      <c r="G316" s="1">
        <f t="shared" si="58"/>
        <v>-1.4465367380345344</v>
      </c>
      <c r="H316" s="1">
        <f t="shared" si="59"/>
        <v>3.8701646418715582E-2</v>
      </c>
      <c r="I316" s="1">
        <f t="shared" si="60"/>
        <v>-2.0821044938006517</v>
      </c>
      <c r="J316" s="1">
        <f t="shared" si="61"/>
        <v>1.5674166799579812E-2</v>
      </c>
      <c r="K316" s="1">
        <f t="shared" si="62"/>
        <v>-0.84325231998926398</v>
      </c>
      <c r="L316" s="1">
        <f t="shared" si="63"/>
        <v>6.0661606138530865E-4</v>
      </c>
    </row>
    <row r="317" spans="1:12" x14ac:dyDescent="0.3">
      <c r="A317" s="1">
        <v>10.46519</v>
      </c>
      <c r="B317" s="1">
        <v>5.9791629999999998E-4</v>
      </c>
      <c r="C317" s="1">
        <v>-82.859639999999999</v>
      </c>
      <c r="D317" s="1">
        <v>4.8916849999999998E-3</v>
      </c>
      <c r="E317" s="1">
        <v>-40.645180000000003</v>
      </c>
      <c r="G317" s="1">
        <f t="shared" si="58"/>
        <v>-1.4461735350171943</v>
      </c>
      <c r="H317" s="1">
        <f t="shared" si="59"/>
        <v>8.5376009220418812E-5</v>
      </c>
      <c r="I317" s="1">
        <f t="shared" si="60"/>
        <v>-0.70939221606574887</v>
      </c>
      <c r="J317" s="1">
        <f t="shared" si="61"/>
        <v>3.4577283734269618E-5</v>
      </c>
      <c r="K317" s="1">
        <f t="shared" si="62"/>
        <v>-0.2873038475066283</v>
      </c>
      <c r="L317" s="1">
        <f t="shared" si="63"/>
        <v>2.9520704949140406E-9</v>
      </c>
    </row>
    <row r="318" spans="1:12" x14ac:dyDescent="0.3">
      <c r="A318" s="1">
        <v>10.498519999999999</v>
      </c>
      <c r="B318" s="1">
        <v>5.8196460000000004E-3</v>
      </c>
      <c r="C318" s="1">
        <v>-82.880129999999994</v>
      </c>
      <c r="D318" s="1">
        <v>-0.46294930000000001</v>
      </c>
      <c r="E318" s="1">
        <v>-3.1474989999999998</v>
      </c>
      <c r="G318" s="1">
        <f t="shared" si="58"/>
        <v>-1.4465311529809277</v>
      </c>
      <c r="H318" s="1">
        <f t="shared" si="59"/>
        <v>-8.079989554802984E-3</v>
      </c>
      <c r="I318" s="1">
        <f t="shared" si="60"/>
        <v>-5.4934220753228992E-2</v>
      </c>
      <c r="J318" s="1">
        <f t="shared" si="61"/>
        <v>-3.2723957696952086E-3</v>
      </c>
      <c r="K318" s="1">
        <f t="shared" si="62"/>
        <v>-2.2248359405057743E-2</v>
      </c>
      <c r="L318" s="1">
        <f t="shared" si="63"/>
        <v>2.644092363831876E-5</v>
      </c>
    </row>
    <row r="319" spans="1:12" x14ac:dyDescent="0.3">
      <c r="A319" s="1">
        <v>10.531840000000001</v>
      </c>
      <c r="B319" s="1">
        <v>2.2540939999999999E-3</v>
      </c>
      <c r="C319" s="1">
        <v>-82.890500000000003</v>
      </c>
      <c r="D319" s="1">
        <v>-0.10275529999999999</v>
      </c>
      <c r="E319" s="1">
        <v>-401.45069999999998</v>
      </c>
      <c r="G319" s="1">
        <f t="shared" si="58"/>
        <v>-1.4467121436243597</v>
      </c>
      <c r="H319" s="1">
        <f t="shared" si="59"/>
        <v>-1.793418308874529E-3</v>
      </c>
      <c r="I319" s="1">
        <f t="shared" si="60"/>
        <v>-7.0066364994359986</v>
      </c>
      <c r="J319" s="1">
        <f t="shared" si="61"/>
        <v>-7.2633441509418431E-4</v>
      </c>
      <c r="K319" s="1">
        <f t="shared" si="62"/>
        <v>-2.8376877822715798</v>
      </c>
      <c r="L319" s="1">
        <f t="shared" si="63"/>
        <v>1.302621438395582E-6</v>
      </c>
    </row>
    <row r="320" spans="1:12" x14ac:dyDescent="0.3">
      <c r="A320" s="1">
        <v>10.56518</v>
      </c>
      <c r="B320" s="1">
        <v>0.27828330000000001</v>
      </c>
      <c r="C320" s="1">
        <v>-82.886979999999994</v>
      </c>
      <c r="D320" s="1">
        <v>-23.772680000000001</v>
      </c>
      <c r="E320" s="1">
        <v>-418.69659999999999</v>
      </c>
      <c r="G320" s="1">
        <f t="shared" si="58"/>
        <v>-1.4466507080346895</v>
      </c>
      <c r="H320" s="1">
        <f t="shared" si="59"/>
        <v>-0.41491153802300557</v>
      </c>
      <c r="I320" s="1">
        <f t="shared" si="60"/>
        <v>-7.3076342369056899</v>
      </c>
      <c r="J320" s="1">
        <f t="shared" si="61"/>
        <v>-0.16803917289931727</v>
      </c>
      <c r="K320" s="1">
        <f t="shared" si="62"/>
        <v>-2.9595918659468046</v>
      </c>
      <c r="L320" s="1">
        <f t="shared" si="63"/>
        <v>6.972139167576949E-2</v>
      </c>
    </row>
    <row r="321" spans="1:12" x14ac:dyDescent="0.3">
      <c r="A321" s="1">
        <v>10.598520000000001</v>
      </c>
      <c r="B321" s="1">
        <v>0.42679879999999998</v>
      </c>
      <c r="C321" s="1">
        <v>-84.475610000000003</v>
      </c>
      <c r="D321" s="1">
        <v>-36.461759999999998</v>
      </c>
      <c r="E321" s="1">
        <v>-135.1508</v>
      </c>
      <c r="G321" s="1">
        <f t="shared" si="58"/>
        <v>-1.4743775321306472</v>
      </c>
      <c r="H321" s="1">
        <f t="shared" si="59"/>
        <v>-0.63637776307196758</v>
      </c>
      <c r="I321" s="1">
        <f t="shared" si="60"/>
        <v>-2.3588264467043523</v>
      </c>
      <c r="J321" s="1">
        <f t="shared" si="61"/>
        <v>-0.2577329940441469</v>
      </c>
      <c r="K321" s="1">
        <f t="shared" si="62"/>
        <v>-0.95532471091526272</v>
      </c>
      <c r="L321" s="1">
        <f t="shared" si="63"/>
        <v>0.16401554621965492</v>
      </c>
    </row>
    <row r="322" spans="1:12" x14ac:dyDescent="0.3">
      <c r="A322" s="1">
        <v>10.63186</v>
      </c>
      <c r="B322" s="1">
        <v>0.3050677</v>
      </c>
      <c r="C322" s="1">
        <v>-85.318169999999995</v>
      </c>
      <c r="D322" s="1">
        <v>-26.063189999999999</v>
      </c>
      <c r="E322" s="1">
        <v>135.1618</v>
      </c>
      <c r="G322" s="1">
        <f t="shared" si="58"/>
        <v>-1.4890829782762505</v>
      </c>
      <c r="H322" s="1">
        <f t="shared" si="59"/>
        <v>-0.4548884790728609</v>
      </c>
      <c r="I322" s="1">
        <f t="shared" si="60"/>
        <v>2.3590184329220718</v>
      </c>
      <c r="J322" s="1">
        <f t="shared" si="61"/>
        <v>-0.18422983402450868</v>
      </c>
      <c r="K322" s="1">
        <f t="shared" si="62"/>
        <v>0.9554024653334392</v>
      </c>
      <c r="L322" s="1">
        <f t="shared" si="63"/>
        <v>8.3804028999254362E-2</v>
      </c>
    </row>
    <row r="323" spans="1:12" x14ac:dyDescent="0.3">
      <c r="A323" s="1">
        <v>10.6652</v>
      </c>
      <c r="B323" s="1">
        <v>0.33927889999999999</v>
      </c>
      <c r="C323" s="1">
        <v>-86.213440000000006</v>
      </c>
      <c r="D323" s="1">
        <v>-28.98977</v>
      </c>
      <c r="E323" s="1">
        <v>-66.828559999999996</v>
      </c>
      <c r="G323" s="1">
        <f t="shared" si="58"/>
        <v>-1.5047083874705802</v>
      </c>
      <c r="H323" s="1">
        <f t="shared" si="59"/>
        <v>-0.50596693589587649</v>
      </c>
      <c r="I323" s="1">
        <f t="shared" si="60"/>
        <v>-1.1663784063665816</v>
      </c>
      <c r="J323" s="1">
        <f t="shared" si="61"/>
        <v>-0.20491660903782999</v>
      </c>
      <c r="K323" s="1">
        <f t="shared" si="62"/>
        <v>-0.47238325457846558</v>
      </c>
      <c r="L323" s="1">
        <f t="shared" si="63"/>
        <v>0.1036810287890441</v>
      </c>
    </row>
    <row r="324" spans="1:12" x14ac:dyDescent="0.3">
      <c r="A324" s="1">
        <v>10.698499999999999</v>
      </c>
      <c r="B324" s="1">
        <v>0.36328290000000002</v>
      </c>
      <c r="C324" s="1">
        <v>-87.250169999999997</v>
      </c>
      <c r="D324" s="1">
        <v>-31.04551</v>
      </c>
      <c r="E324" s="1">
        <v>-70.158619999999999</v>
      </c>
      <c r="G324" s="1">
        <f t="shared" ref="G324:G334" si="64">C324 * PI() / 180</f>
        <v>-1.5228027394247807</v>
      </c>
      <c r="H324" s="1">
        <f t="shared" ref="H324:H334" si="65">D324 * PI() / 180</f>
        <v>-0.54184636746082471</v>
      </c>
      <c r="I324" s="1">
        <f t="shared" ref="I324:I334" si="66">E324 * PI() / 180</f>
        <v>-1.2244989176555441</v>
      </c>
      <c r="J324" s="1">
        <f t="shared" ref="J324:J334" si="67">(0.405*H324)</f>
        <v>-0.21944777882163402</v>
      </c>
      <c r="K324" s="1">
        <f t="shared" ref="K324:K334" si="68">(0.405*I324)</f>
        <v>-0.4959220616504954</v>
      </c>
      <c r="L324" s="1">
        <f t="shared" ref="L324:L334" si="69">(0.405*(H324^2))</f>
        <v>0.11890698180184889</v>
      </c>
    </row>
    <row r="325" spans="1:12" x14ac:dyDescent="0.3">
      <c r="A325" s="1">
        <v>10.731820000000001</v>
      </c>
      <c r="B325" s="1">
        <v>0.38636599999999999</v>
      </c>
      <c r="C325" s="1">
        <v>-88.281760000000006</v>
      </c>
      <c r="D325" s="1">
        <v>-33.023139999999998</v>
      </c>
      <c r="E325" s="1">
        <v>-51.485509999999998</v>
      </c>
      <c r="G325" s="1">
        <f t="shared" si="64"/>
        <v>-1.5408073814554291</v>
      </c>
      <c r="H325" s="1">
        <f t="shared" si="65"/>
        <v>-0.57636252234704022</v>
      </c>
      <c r="I325" s="1">
        <f t="shared" si="66"/>
        <v>-0.89859166656846567</v>
      </c>
      <c r="J325" s="1">
        <f t="shared" si="67"/>
        <v>-0.23342682155055131</v>
      </c>
      <c r="K325" s="1">
        <f t="shared" si="68"/>
        <v>-0.36392962496022863</v>
      </c>
      <c r="L325" s="1">
        <f t="shared" si="69"/>
        <v>0.13453847165232818</v>
      </c>
    </row>
    <row r="326" spans="1:12" x14ac:dyDescent="0.3">
      <c r="A326" s="1">
        <v>10.76519</v>
      </c>
      <c r="B326" s="1">
        <v>0.41032479999999999</v>
      </c>
      <c r="C326" s="1">
        <v>-89.452449999999999</v>
      </c>
      <c r="D326" s="1">
        <v>-35.074689999999997</v>
      </c>
      <c r="E326" s="1">
        <v>-32.781779999999998</v>
      </c>
      <c r="G326" s="1">
        <f t="shared" si="64"/>
        <v>-1.5612397764756016</v>
      </c>
      <c r="H326" s="1">
        <f t="shared" si="65"/>
        <v>-0.61216882461632982</v>
      </c>
      <c r="I326" s="1">
        <f t="shared" si="66"/>
        <v>-0.5721499956644267</v>
      </c>
      <c r="J326" s="1">
        <f t="shared" si="67"/>
        <v>-0.24792837396961359</v>
      </c>
      <c r="K326" s="1">
        <f t="shared" si="68"/>
        <v>-0.23172074824409283</v>
      </c>
      <c r="L326" s="1">
        <f t="shared" si="69"/>
        <v>0.15177402128201622</v>
      </c>
    </row>
    <row r="327" spans="1:12" x14ac:dyDescent="0.3">
      <c r="A327" s="1">
        <v>10.79848</v>
      </c>
      <c r="B327" s="1">
        <v>0.40880630000000001</v>
      </c>
      <c r="C327" s="1">
        <v>-90.619690000000006</v>
      </c>
      <c r="D327" s="1">
        <v>-34.943219999999997</v>
      </c>
      <c r="E327" s="1">
        <v>27.117249999999999</v>
      </c>
      <c r="G327" s="1">
        <f t="shared" si="64"/>
        <v>-1.5816119576365801</v>
      </c>
      <c r="H327" s="1">
        <f t="shared" si="65"/>
        <v>-0.60987424024873294</v>
      </c>
      <c r="I327" s="1">
        <f t="shared" si="66"/>
        <v>0.47328529658643231</v>
      </c>
      <c r="J327" s="1">
        <f t="shared" si="67"/>
        <v>-0.24699906730073687</v>
      </c>
      <c r="K327" s="1">
        <f t="shared" si="68"/>
        <v>0.1916805451175051</v>
      </c>
      <c r="L327" s="1">
        <f t="shared" si="69"/>
        <v>0.15063836851218254</v>
      </c>
    </row>
    <row r="328" spans="1:12" x14ac:dyDescent="0.3">
      <c r="A328" s="1">
        <v>10.831810000000001</v>
      </c>
      <c r="B328" s="1">
        <v>0.39112419999999998</v>
      </c>
      <c r="C328" s="1">
        <v>-91.780439999999999</v>
      </c>
      <c r="D328" s="1">
        <v>-33.432830000000003</v>
      </c>
      <c r="E328" s="1">
        <v>49.936140000000002</v>
      </c>
      <c r="G328" s="1">
        <f t="shared" si="64"/>
        <v>-1.6018708669291044</v>
      </c>
      <c r="H328" s="1">
        <f t="shared" si="65"/>
        <v>-0.58351296175953593</v>
      </c>
      <c r="I328" s="1">
        <f t="shared" si="66"/>
        <v>0.87155005873684122</v>
      </c>
      <c r="J328" s="1">
        <f t="shared" si="67"/>
        <v>-0.23632274951261206</v>
      </c>
      <c r="K328" s="1">
        <f t="shared" si="68"/>
        <v>0.35297777378842071</v>
      </c>
      <c r="L328" s="1">
        <f t="shared" si="69"/>
        <v>0.1378973874992612</v>
      </c>
    </row>
    <row r="329" spans="1:12" x14ac:dyDescent="0.3">
      <c r="A329" s="1">
        <v>10.865159999999999</v>
      </c>
      <c r="B329" s="1">
        <v>0.36632799999999999</v>
      </c>
      <c r="C329" s="1">
        <v>-92.848910000000004</v>
      </c>
      <c r="D329" s="1">
        <v>-31.311060000000001</v>
      </c>
      <c r="E329" s="1">
        <v>60.420650000000002</v>
      </c>
      <c r="G329" s="1">
        <f t="shared" si="64"/>
        <v>-1.6205191863878883</v>
      </c>
      <c r="H329" s="1">
        <f t="shared" si="65"/>
        <v>-0.54648108928949568</v>
      </c>
      <c r="I329" s="1">
        <f t="shared" si="66"/>
        <v>1.0545392786951118</v>
      </c>
      <c r="J329" s="1">
        <f t="shared" si="67"/>
        <v>-0.22132484116224577</v>
      </c>
      <c r="K329" s="1">
        <f t="shared" si="68"/>
        <v>0.4270884078715203</v>
      </c>
      <c r="L329" s="1">
        <f t="shared" si="69"/>
        <v>0.12094984028516868</v>
      </c>
    </row>
    <row r="330" spans="1:12" x14ac:dyDescent="0.3">
      <c r="A330" s="1">
        <v>10.898490000000001</v>
      </c>
      <c r="B330" s="1">
        <v>0.34577770000000002</v>
      </c>
      <c r="C330" s="1">
        <v>-93.868200000000002</v>
      </c>
      <c r="D330" s="1">
        <v>-29.555399999999999</v>
      </c>
      <c r="E330" s="1">
        <v>71.995019999999997</v>
      </c>
      <c r="G330" s="1">
        <f t="shared" si="64"/>
        <v>-1.6383091529205414</v>
      </c>
      <c r="H330" s="1">
        <f t="shared" si="65"/>
        <v>-0.51583904174393203</v>
      </c>
      <c r="I330" s="1">
        <f t="shared" si="66"/>
        <v>1.256550144039168</v>
      </c>
      <c r="J330" s="1">
        <f t="shared" si="67"/>
        <v>-0.20891481190629249</v>
      </c>
      <c r="K330" s="1">
        <f t="shared" si="68"/>
        <v>0.5089028083358631</v>
      </c>
      <c r="L330" s="1">
        <f t="shared" si="69"/>
        <v>0.10776641637985572</v>
      </c>
    </row>
    <row r="331" spans="1:12" x14ac:dyDescent="0.3">
      <c r="A331" s="1">
        <v>10.931800000000001</v>
      </c>
      <c r="B331" s="1">
        <v>0.31130609999999997</v>
      </c>
      <c r="C331" s="1">
        <v>-94.818619999999996</v>
      </c>
      <c r="D331" s="1">
        <v>-26.609680000000001</v>
      </c>
      <c r="E331" s="1">
        <v>777.82420000000002</v>
      </c>
      <c r="G331" s="1">
        <f t="shared" si="64"/>
        <v>-1.6548971111973458</v>
      </c>
      <c r="H331" s="1">
        <f t="shared" si="65"/>
        <v>-0.46442652890208475</v>
      </c>
      <c r="I331" s="1">
        <f t="shared" si="66"/>
        <v>13.575593291690877</v>
      </c>
      <c r="J331" s="1">
        <f t="shared" si="67"/>
        <v>-0.18809274420534433</v>
      </c>
      <c r="K331" s="1">
        <f t="shared" si="68"/>
        <v>5.4981152831348057</v>
      </c>
      <c r="L331" s="1">
        <f t="shared" si="69"/>
        <v>8.7355260302955789E-2</v>
      </c>
    </row>
    <row r="332" spans="1:12" x14ac:dyDescent="0.3">
      <c r="A332" s="1">
        <v>10.96513</v>
      </c>
      <c r="B332" s="1">
        <v>0.19844100000000001</v>
      </c>
      <c r="C332" s="1">
        <v>-95.641580000000005</v>
      </c>
      <c r="D332" s="1">
        <v>16.763549999999999</v>
      </c>
      <c r="E332" s="1">
        <v>482.07400000000001</v>
      </c>
      <c r="G332" s="1">
        <f t="shared" si="64"/>
        <v>-1.6692604728095584</v>
      </c>
      <c r="H332" s="1">
        <f t="shared" si="65"/>
        <v>0.2925791418226954</v>
      </c>
      <c r="I332" s="1">
        <f t="shared" si="66"/>
        <v>8.4137785382591446</v>
      </c>
      <c r="J332" s="1">
        <f t="shared" si="67"/>
        <v>0.11849455243819164</v>
      </c>
      <c r="K332" s="1">
        <f t="shared" si="68"/>
        <v>3.4075803079949538</v>
      </c>
      <c r="L332" s="1">
        <f t="shared" si="69"/>
        <v>3.466903446303049E-2</v>
      </c>
    </row>
    <row r="333" spans="1:12" x14ac:dyDescent="0.3">
      <c r="A333" s="1">
        <v>10.99846</v>
      </c>
      <c r="B333" s="1">
        <v>0.26256079999999998</v>
      </c>
      <c r="C333" s="1">
        <v>-93.701229999999995</v>
      </c>
      <c r="D333" s="1">
        <v>22.238610000000001</v>
      </c>
      <c r="G333" s="1">
        <f t="shared" si="64"/>
        <v>-1.6353949766684861</v>
      </c>
      <c r="H333" s="1">
        <f t="shared" si="65"/>
        <v>0.38813696556693617</v>
      </c>
      <c r="I333" s="1">
        <f t="shared" si="66"/>
        <v>0</v>
      </c>
      <c r="J333" s="1">
        <f t="shared" si="67"/>
        <v>0.15719547105460915</v>
      </c>
      <c r="K333" s="1">
        <f t="shared" si="68"/>
        <v>0</v>
      </c>
      <c r="L333" s="1">
        <f t="shared" si="69"/>
        <v>6.1013373136001144E-2</v>
      </c>
    </row>
    <row r="334" spans="1:12" x14ac:dyDescent="0.3">
      <c r="A334" s="1">
        <v>11.031829999999999</v>
      </c>
      <c r="C334" s="1">
        <v>-94.158270000000002</v>
      </c>
      <c r="G334" s="1">
        <f t="shared" si="64"/>
        <v>-1.6433718294818012</v>
      </c>
      <c r="H334" s="1">
        <f t="shared" si="65"/>
        <v>0</v>
      </c>
      <c r="I334" s="1">
        <f t="shared" si="66"/>
        <v>0</v>
      </c>
      <c r="J334" s="1">
        <f t="shared" si="67"/>
        <v>0</v>
      </c>
      <c r="K334" s="1">
        <f t="shared" si="68"/>
        <v>0</v>
      </c>
      <c r="L334" s="1">
        <f t="shared" si="69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valentincastro05@gmail.com</dc:creator>
  <cp:lastModifiedBy>valentincastro05@gmail.com</cp:lastModifiedBy>
  <dcterms:created xsi:type="dcterms:W3CDTF">2026-10-29T19:24:11Z</dcterms:created>
  <dcterms:modified xsi:type="dcterms:W3CDTF">2026-10-30T11:41:53Z</dcterms:modified>
</cp:coreProperties>
</file>